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tables/table1.xml" ContentType="application/vnd.openxmlformats-officedocument.spreadsheetml.table+xml"/>
  <Override PartName="/xl/drawings/drawing2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6227" codeName="{37A63EE7-654F-3FA9-A528-636911D70600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chris\Documents\GitHub\ScoutingPASS\Excel\"/>
    </mc:Choice>
  </mc:AlternateContent>
  <xr:revisionPtr revIDLastSave="0" documentId="13_ncr:1_{6D463BA7-EE0D-4257-AC38-BB6D28032300}" xr6:coauthVersionLast="47" xr6:coauthVersionMax="47" xr10:uidLastSave="{00000000-0000-0000-0000-000000000000}"/>
  <bookViews>
    <workbookView xWindow="28680" yWindow="-120" windowWidth="29040" windowHeight="15840" activeTab="1" xr2:uid="{69B330E3-955F-46F7-8CA4-E99CE26A5CBD}"/>
  </bookViews>
  <sheets>
    <sheet name="Control" sheetId="1" r:id="rId1"/>
    <sheet name="ScoutingData" sheetId="2" r:id="rId2"/>
    <sheet name="Image Maps" sheetId="4" r:id="rId3"/>
  </sheets>
  <functionGroups builtInGroupCount="19"/>
  <externalReferences>
    <externalReference r:id="rId4"/>
  </externalReferences>
  <definedNames>
    <definedName name="AAA">#REF!</definedName>
    <definedName name="alliance_status_str">#REF!</definedName>
    <definedName name="AllianceColor" localSheetId="2">#REF!</definedName>
    <definedName name="AllianceColor">#REF!</definedName>
    <definedName name="authKey">#REF!</definedName>
    <definedName name="Auto">#REF!</definedName>
    <definedName name="AvgHangar">#REF!</definedName>
    <definedName name="AvgMatch">#REF!</definedName>
    <definedName name="AvgTaxiAndAutoCargo">#REF!</definedName>
    <definedName name="baseURL">#REF!</definedName>
    <definedName name="blue_1">#REF!</definedName>
    <definedName name="BLUE_1_AUTO_TAXI_PCT">#REF!</definedName>
    <definedName name="BLUE_1_AVG_AUTO_LOW_CARGO">#REF!</definedName>
    <definedName name="BLUE_1_AVG_AUTO_PU">#REF!</definedName>
    <definedName name="BLUE_1_AVG_AUTO_UP_CARGO">#REF!</definedName>
    <definedName name="BLUE_1_AVG_LOW_CARGO">#REF!</definedName>
    <definedName name="BLUE_1_AVG_SCORE">#REF!</definedName>
    <definedName name="BLUE_1_AVG_UP_CARGO">#REF!</definedName>
    <definedName name="BLUE_1_CLIMB_PCT">#REF!</definedName>
    <definedName name="BLUE_1_DEFENSE">#REF!</definedName>
    <definedName name="BLUE_1_SHOOTING_LOCS">#REF!</definedName>
    <definedName name="blue_1_teams">#REF!</definedName>
    <definedName name="BLUE_1_WALLBOT">#REF!</definedName>
    <definedName name="blue_2">#REF!</definedName>
    <definedName name="BLUE_2_AUTO_TAXI_PCT">#REF!</definedName>
    <definedName name="BLUE_2_AVG_AUTO_LOW_CARGO">#REF!</definedName>
    <definedName name="BLUE_2_AVG_AUTO_PU">#REF!</definedName>
    <definedName name="BLUE_2_AVG_AUTO_UP_CARGO">#REF!</definedName>
    <definedName name="BLUE_2_AVG_LOW_CARGO">#REF!</definedName>
    <definedName name="BLUE_2_AVG_SCORE">#REF!</definedName>
    <definedName name="BLUE_2_AVG_UP_CARGO">#REF!</definedName>
    <definedName name="BLUE_2_CLIMB_PCT">#REF!</definedName>
    <definedName name="BLUE_2_DEFENSE">#REF!</definedName>
    <definedName name="BLUE_2_SHOOTING_LOCS">#REF!</definedName>
    <definedName name="blue_2_teams">#REF!</definedName>
    <definedName name="BLUE_2_WALLBOT">#REF!</definedName>
    <definedName name="blue_3">#REF!</definedName>
    <definedName name="BLUE_3_AUTO_TAXI_PCT">#REF!</definedName>
    <definedName name="BLUE_3_AVG_AUTO_LOW_CARGO">#REF!</definedName>
    <definedName name="BLUE_3_AVG_AUTO_PU">#REF!</definedName>
    <definedName name="BLUE_3_AVG_AUTO_UP_CARGO">#REF!</definedName>
    <definedName name="BLUE_3_AVG_LOW_CARGO">#REF!</definedName>
    <definedName name="BLUE_3_AVG_SCORE">#REF!</definedName>
    <definedName name="BLUE_3_AVG_UP_CARGO">#REF!</definedName>
    <definedName name="BLUE_3_CLIMB_PCT">#REF!</definedName>
    <definedName name="BLUE_3_DEFENSE">#REF!</definedName>
    <definedName name="BLUE_3_SHOOTING_LOCS">#REF!</definedName>
    <definedName name="blue_3_teams">#REF!</definedName>
    <definedName name="BLUE_3_WALLBOT">#REF!</definedName>
    <definedName name="blue_adjustPoints">#REF!</definedName>
    <definedName name="blue_autoCargoPoints">#REF!</definedName>
    <definedName name="blue_autoOwnershipPoints">#REF!</definedName>
    <definedName name="blue_autoPoints">#REF!</definedName>
    <definedName name="blue_autoQuestRankingPoint">#REF!</definedName>
    <definedName name="blue_autoRobot1">#REF!</definedName>
    <definedName name="blue_autoRobot2">#REF!</definedName>
    <definedName name="blue_autoRobot3">#REF!</definedName>
    <definedName name="blue_autoScaleOwnershipSec">#REF!</definedName>
    <definedName name="blue_autoSwitchAtZero">#REF!</definedName>
    <definedName name="blue_autoSwitchOwnershipSec">#REF!</definedName>
    <definedName name="blue_autoTaxiPoints">#REF!</definedName>
    <definedName name="blue_bay1">#REF!</definedName>
    <definedName name="blue_bay2">#REF!</definedName>
    <definedName name="blue_bay3">#REF!</definedName>
    <definedName name="blue_bay4">#REF!</definedName>
    <definedName name="blue_bay5">#REF!</definedName>
    <definedName name="blue_bay6">#REF!</definedName>
    <definedName name="blue_bay7">#REF!</definedName>
    <definedName name="blue_bay8">#REF!</definedName>
    <definedName name="blue_cargoBonusRankingPoint">#REF!</definedName>
    <definedName name="blue_cargoPoints">#REF!</definedName>
    <definedName name="blue_completedRocketFar">#REF!</definedName>
    <definedName name="blue_completedRocketNear">#REF!</definedName>
    <definedName name="blue_completeRocketRankingPoint">#REF!</definedName>
    <definedName name="blue_endgamePoints">#REF!</definedName>
    <definedName name="blue_endgameRobot1">#REF!</definedName>
    <definedName name="blue_endgameRobot2">#REF!</definedName>
    <definedName name="blue_endgameRobot3">#REF!</definedName>
    <definedName name="BLUE_ESTIMATED_SCORE">#REF!</definedName>
    <definedName name="blue_faceTheBossRankingPoint">#REF!</definedName>
    <definedName name="blue_foulCount">#REF!</definedName>
    <definedName name="blue_foulPoints">#REF!</definedName>
    <definedName name="blue_habClimbPoints">#REF!</definedName>
    <definedName name="blue_habDockingRankingPoint">#REF!</definedName>
    <definedName name="blue_habLineRobot1">#REF!</definedName>
    <definedName name="blue_habLineRobot2">#REF!</definedName>
    <definedName name="blue_habLineRobot3">#REF!</definedName>
    <definedName name="blue_hangarBonusRankingPoint">#REF!</definedName>
    <definedName name="blue_hatchPanelPoints">#REF!</definedName>
    <definedName name="blue_lowLeftRocketFar">#REF!</definedName>
    <definedName name="blue_lowLeftRocketNear">#REF!</definedName>
    <definedName name="blue_lowRightRocketFar">#REF!</definedName>
    <definedName name="blue_lowRightRocketNear">#REF!</definedName>
    <definedName name="blue_matchCargoTotal">#REF!</definedName>
    <definedName name="blue_midLeftRocketFar">#REF!</definedName>
    <definedName name="blue_midLeftRocketNear">#REF!</definedName>
    <definedName name="blue_midRightRocketFar">#REF!</definedName>
    <definedName name="blue_midRightRocketNear">#REF!</definedName>
    <definedName name="blue_preMatchBay1">#REF!</definedName>
    <definedName name="blue_preMatchBay2">#REF!</definedName>
    <definedName name="blue_preMatchBay3">#REF!</definedName>
    <definedName name="blue_preMatchBay6">#REF!</definedName>
    <definedName name="blue_preMatchBay7">#REF!</definedName>
    <definedName name="blue_preMatchBay8">#REF!</definedName>
    <definedName name="blue_preMatchLevelRobot1">#REF!</definedName>
    <definedName name="blue_preMatchLevelRobot2">#REF!</definedName>
    <definedName name="blue_preMatchLevelRobot3">#REF!</definedName>
    <definedName name="blue_quintetAchieved">#REF!</definedName>
    <definedName name="blue_rp">#REF!</definedName>
    <definedName name="blue_sandStormBonusPoints">#REF!</definedName>
    <definedName name="blue_score">#REF!</definedName>
    <definedName name="blue_taxiRobot1">#REF!</definedName>
    <definedName name="blue_taxiRobot2">#REF!</definedName>
    <definedName name="blue_taxiRobot3">#REF!</definedName>
    <definedName name="blue_tba_gameData">#REF!</definedName>
    <definedName name="blue_team_keys_1">#REF!</definedName>
    <definedName name="blue_team_keys_2">#REF!</definedName>
    <definedName name="blue_team_keys_3">#REF!</definedName>
    <definedName name="blue_techFoulCount">#REF!</definedName>
    <definedName name="blue_teleopCargoPoints">#REF!</definedName>
    <definedName name="blue_teleopCargoTotal">#REF!</definedName>
    <definedName name="blue_teleopOwnershipPoints">#REF!</definedName>
    <definedName name="blue_teleopPoints">#REF!</definedName>
    <definedName name="blue_teleopScaleBoostSec">#REF!</definedName>
    <definedName name="blue_teleopScaleOwnershipSec">#REF!</definedName>
    <definedName name="blue_teleopSwitchBoostSec">#REF!</definedName>
    <definedName name="blue_teleopSwitchOwnershipSec">#REF!</definedName>
    <definedName name="blue_topLeftRocketFar">#REF!</definedName>
    <definedName name="blue_topLeftRocketNear">#REF!</definedName>
    <definedName name="blue_topRightRocketFar">#REF!</definedName>
    <definedName name="blue_topRightRocketNear">#REF!</definedName>
    <definedName name="blue_totalPoints">#REF!</definedName>
    <definedName name="blue_vaultBoostPlayed">#REF!</definedName>
    <definedName name="blue_vaultBoostTotal">#REF!</definedName>
    <definedName name="blue_vaultForcePlayed">#REF!</definedName>
    <definedName name="blue_vaultForceTotal">#REF!</definedName>
    <definedName name="blue_vaultLevitatePlayed">#REF!</definedName>
    <definedName name="blue_vaultLevitateTotal">#REF!</definedName>
    <definedName name="blue_vaultPoints">#REF!</definedName>
    <definedName name="blue1">#REF!</definedName>
    <definedName name="blue2">#REF!</definedName>
    <definedName name="calledURL">#REF!</definedName>
    <definedName name="Cargo">#REF!</definedName>
    <definedName name="city">#REF!</definedName>
    <definedName name="ClimbAssistValues" localSheetId="2">#REF!</definedName>
    <definedName name="ClimbAssistValues">#REF!</definedName>
    <definedName name="ClimbLevel">#REF!</definedName>
    <definedName name="comp_level">#REF!</definedName>
    <definedName name="country">#REF!</definedName>
    <definedName name="CycleTimes" localSheetId="2">#REF!</definedName>
    <definedName name="CycleTimes">#REF!</definedName>
    <definedName name="Data">'[1]Match Scouting Data'!#REF!</definedName>
    <definedName name="DefenseType" localSheetId="2">#REF!</definedName>
    <definedName name="DefenseType">#REF!</definedName>
    <definedName name="dq">#REF!</definedName>
    <definedName name="DriverSkillValues" localSheetId="2">#REF!</definedName>
    <definedName name="DriverSkillValues">#REF!</definedName>
    <definedName name="EndGame">#REF!</definedName>
    <definedName name="event">#REF!</definedName>
    <definedName name="eventList" localSheetId="2">#REF!</definedName>
    <definedName name="eventList">#REF!</definedName>
    <definedName name="eventNames" localSheetId="2">#REF!</definedName>
    <definedName name="eventNames">#REF!</definedName>
    <definedName name="HABClimb">#REF!</definedName>
    <definedName name="HatchPanel">#REF!</definedName>
    <definedName name="HEAT_MAP_MATRIX">#REF!</definedName>
    <definedName name="HEATMAP_TEAM_NUM" localSheetId="2">'Image Maps'!#REF!</definedName>
    <definedName name="HEATMAP_TEAM_NUM">#REF!</definedName>
    <definedName name="HL_CARGO">#REF!</definedName>
    <definedName name="HL_HATCHES">#REF!</definedName>
    <definedName name="HL_UPPER_CARGO">#REF!</definedName>
    <definedName name="HL_UPPER_HATCHES">#REF!</definedName>
    <definedName name="HM_1" localSheetId="2">'Image Maps'!$B$2</definedName>
    <definedName name="HM_1">#REF!</definedName>
    <definedName name="HM_1_B1">#REF!</definedName>
    <definedName name="HM_1_B2">#REF!</definedName>
    <definedName name="HM_1_B3">#REF!</definedName>
    <definedName name="HM_1_R1">#REF!</definedName>
    <definedName name="HM_1_R2">#REF!</definedName>
    <definedName name="HM_1_R3">#REF!</definedName>
    <definedName name="HM_10" localSheetId="2">'Image Maps'!$K$2</definedName>
    <definedName name="HM_10">#REF!</definedName>
    <definedName name="HM_10_B1">#REF!</definedName>
    <definedName name="HM_10_B2">#REF!</definedName>
    <definedName name="HM_10_B3">#REF!</definedName>
    <definedName name="HM_10_R1">#REF!</definedName>
    <definedName name="HM_10_R2">#REF!</definedName>
    <definedName name="HM_10_R3">#REF!</definedName>
    <definedName name="HM_11" localSheetId="2">'Image Maps'!$L$2</definedName>
    <definedName name="HM_11">#REF!</definedName>
    <definedName name="HM_11_B1">#REF!</definedName>
    <definedName name="HM_11_B2">#REF!</definedName>
    <definedName name="HM_11_B3">#REF!</definedName>
    <definedName name="HM_11_R1">#REF!</definedName>
    <definedName name="HM_11_R2">#REF!</definedName>
    <definedName name="HM_11_R3">#REF!</definedName>
    <definedName name="HM_12" localSheetId="2">'Image Maps'!$M$2</definedName>
    <definedName name="HM_12">#REF!</definedName>
    <definedName name="HM_12_B1">#REF!</definedName>
    <definedName name="HM_12_B2">#REF!</definedName>
    <definedName name="HM_12_B3">#REF!</definedName>
    <definedName name="HM_12_R1">#REF!</definedName>
    <definedName name="HM_12_R2">#REF!</definedName>
    <definedName name="HM_12_R3">#REF!</definedName>
    <definedName name="HM_13" localSheetId="2">'Image Maps'!$B$3</definedName>
    <definedName name="HM_13">#REF!</definedName>
    <definedName name="HM_13_B1">#REF!</definedName>
    <definedName name="HM_13_B2">#REF!</definedName>
    <definedName name="HM_13_B3">#REF!</definedName>
    <definedName name="HM_13_R1">#REF!</definedName>
    <definedName name="HM_13_R2">#REF!</definedName>
    <definedName name="HM_13_R3">#REF!</definedName>
    <definedName name="HM_14" localSheetId="2">'Image Maps'!$C$3</definedName>
    <definedName name="HM_14">#REF!</definedName>
    <definedName name="HM_14_B1">#REF!</definedName>
    <definedName name="HM_14_B2">#REF!</definedName>
    <definedName name="HM_14_B3">#REF!</definedName>
    <definedName name="HM_14_R1">#REF!</definedName>
    <definedName name="HM_14_R2">#REF!</definedName>
    <definedName name="HM_14_R3">#REF!</definedName>
    <definedName name="HM_15" localSheetId="2">'Image Maps'!$D$3</definedName>
    <definedName name="HM_15">#REF!</definedName>
    <definedName name="HM_15_B1">#REF!</definedName>
    <definedName name="HM_15_B2">#REF!</definedName>
    <definedName name="HM_15_B3">#REF!</definedName>
    <definedName name="HM_15_R1">#REF!</definedName>
    <definedName name="HM_15_R2">#REF!</definedName>
    <definedName name="HM_15_R3">#REF!</definedName>
    <definedName name="HM_16" localSheetId="2">'Image Maps'!$E$3</definedName>
    <definedName name="HM_16">#REF!</definedName>
    <definedName name="HM_16_B1">#REF!</definedName>
    <definedName name="HM_16_B2">#REF!</definedName>
    <definedName name="HM_16_B3">#REF!</definedName>
    <definedName name="HM_16_R1">#REF!</definedName>
    <definedName name="HM_16_R2">#REF!</definedName>
    <definedName name="HM_16_R3">#REF!</definedName>
    <definedName name="HM_17" localSheetId="2">'Image Maps'!$F$3</definedName>
    <definedName name="HM_17">#REF!</definedName>
    <definedName name="HM_17_B1">#REF!</definedName>
    <definedName name="HM_17_B2">#REF!</definedName>
    <definedName name="HM_17_B3">#REF!</definedName>
    <definedName name="HM_17_R1">#REF!</definedName>
    <definedName name="HM_17_R2">#REF!</definedName>
    <definedName name="HM_17_R3">#REF!</definedName>
    <definedName name="HM_18" localSheetId="2">'Image Maps'!$G$3</definedName>
    <definedName name="HM_18">#REF!</definedName>
    <definedName name="HM_18_B1">#REF!</definedName>
    <definedName name="HM_18_B2">#REF!</definedName>
    <definedName name="HM_18_B3">#REF!</definedName>
    <definedName name="HM_18_R1">#REF!</definedName>
    <definedName name="HM_18_R2">#REF!</definedName>
    <definedName name="HM_18_R3">#REF!</definedName>
    <definedName name="HM_19" localSheetId="2">'Image Maps'!$H$3</definedName>
    <definedName name="HM_19">#REF!</definedName>
    <definedName name="HM_19_B1">#REF!</definedName>
    <definedName name="HM_19_B2">#REF!</definedName>
    <definedName name="HM_19_B3">#REF!</definedName>
    <definedName name="HM_19_R1">#REF!</definedName>
    <definedName name="HM_19_R2">#REF!</definedName>
    <definedName name="HM_19_R3">#REF!</definedName>
    <definedName name="HM_2" localSheetId="2">'Image Maps'!$C$2</definedName>
    <definedName name="HM_2">#REF!</definedName>
    <definedName name="HM_2_B1">#REF!</definedName>
    <definedName name="HM_2_B2">#REF!</definedName>
    <definedName name="HM_2_B3">#REF!</definedName>
    <definedName name="HM_2_R1">#REF!</definedName>
    <definedName name="HM_2_R2">#REF!</definedName>
    <definedName name="HM_2_R3">#REF!</definedName>
    <definedName name="HM_20" localSheetId="2">'Image Maps'!$I$3</definedName>
    <definedName name="HM_20">#REF!</definedName>
    <definedName name="HM_20_B1">#REF!</definedName>
    <definedName name="HM_20_B2">#REF!</definedName>
    <definedName name="HM_20_B3">#REF!</definedName>
    <definedName name="HM_20_R1">#REF!</definedName>
    <definedName name="HM_20_R2">#REF!</definedName>
    <definedName name="HM_20_R3">#REF!</definedName>
    <definedName name="HM_21" localSheetId="2">'Image Maps'!$J$3</definedName>
    <definedName name="HM_21">#REF!</definedName>
    <definedName name="HM_21_B1">#REF!</definedName>
    <definedName name="HM_21_B2">#REF!</definedName>
    <definedName name="HM_21_B3">#REF!</definedName>
    <definedName name="HM_21_R1">#REF!</definedName>
    <definedName name="HM_21_R2">#REF!</definedName>
    <definedName name="HM_21_R3">#REF!</definedName>
    <definedName name="HM_22" localSheetId="2">'Image Maps'!$K$3</definedName>
    <definedName name="HM_22">#REF!</definedName>
    <definedName name="HM_22_B1">#REF!</definedName>
    <definedName name="HM_22_B2">#REF!</definedName>
    <definedName name="HM_22_B3">#REF!</definedName>
    <definedName name="HM_22_R1">#REF!</definedName>
    <definedName name="HM_22_R2">#REF!</definedName>
    <definedName name="HM_22_R3">#REF!</definedName>
    <definedName name="HM_23" localSheetId="2">'Image Maps'!$L$3</definedName>
    <definedName name="HM_23">#REF!</definedName>
    <definedName name="HM_23_B1">#REF!</definedName>
    <definedName name="HM_23_B2">#REF!</definedName>
    <definedName name="HM_23_B3">#REF!</definedName>
    <definedName name="HM_23_R1">#REF!</definedName>
    <definedName name="HM_23_R2">#REF!</definedName>
    <definedName name="HM_23_R3">#REF!</definedName>
    <definedName name="HM_24" localSheetId="2">'Image Maps'!$M$3</definedName>
    <definedName name="HM_24">#REF!</definedName>
    <definedName name="HM_24_B1">#REF!</definedName>
    <definedName name="HM_24_B2">#REF!</definedName>
    <definedName name="HM_24_B3">#REF!</definedName>
    <definedName name="HM_24_R1">#REF!</definedName>
    <definedName name="HM_24_R2">#REF!</definedName>
    <definedName name="HM_24_R3">#REF!</definedName>
    <definedName name="HM_25" localSheetId="2">'Image Maps'!$B$4</definedName>
    <definedName name="HM_25">#REF!</definedName>
    <definedName name="HM_25_B1">#REF!</definedName>
    <definedName name="HM_25_B2">#REF!</definedName>
    <definedName name="HM_25_B3">#REF!</definedName>
    <definedName name="HM_25_R1">#REF!</definedName>
    <definedName name="HM_25_R2">#REF!</definedName>
    <definedName name="HM_25_R3">#REF!</definedName>
    <definedName name="HM_26" localSheetId="2">'Image Maps'!$C$4</definedName>
    <definedName name="HM_26">#REF!</definedName>
    <definedName name="HM_26_B1">#REF!</definedName>
    <definedName name="HM_26_B2">#REF!</definedName>
    <definedName name="HM_26_B3">#REF!</definedName>
    <definedName name="HM_26_R1">#REF!</definedName>
    <definedName name="HM_26_R2">#REF!</definedName>
    <definedName name="HM_26_R3">#REF!</definedName>
    <definedName name="HM_27" localSheetId="2">'Image Maps'!$D$4</definedName>
    <definedName name="HM_27">#REF!</definedName>
    <definedName name="HM_27_B1">#REF!</definedName>
    <definedName name="HM_27_B2">#REF!</definedName>
    <definedName name="HM_27_B3">#REF!</definedName>
    <definedName name="HM_27_R1">#REF!</definedName>
    <definedName name="HM_27_R2">#REF!</definedName>
    <definedName name="HM_27_R3">#REF!</definedName>
    <definedName name="HM_28" localSheetId="2">'Image Maps'!$E$4</definedName>
    <definedName name="HM_28">#REF!</definedName>
    <definedName name="HM_28_B1">#REF!</definedName>
    <definedName name="HM_28_B2">#REF!</definedName>
    <definedName name="HM_28_B3">#REF!</definedName>
    <definedName name="HM_28_R1">#REF!</definedName>
    <definedName name="HM_28_R2">#REF!</definedName>
    <definedName name="HM_28_R3">#REF!</definedName>
    <definedName name="HM_29" localSheetId="2">'Image Maps'!$F$4</definedName>
    <definedName name="HM_29">#REF!</definedName>
    <definedName name="HM_29_B1">#REF!</definedName>
    <definedName name="HM_29_B2">#REF!</definedName>
    <definedName name="HM_29_B3">#REF!</definedName>
    <definedName name="HM_29_R1">#REF!</definedName>
    <definedName name="HM_29_R2">#REF!</definedName>
    <definedName name="HM_29_R3">#REF!</definedName>
    <definedName name="HM_3" localSheetId="2">'Image Maps'!$D$2</definedName>
    <definedName name="HM_3">#REF!</definedName>
    <definedName name="HM_3_B1">#REF!</definedName>
    <definedName name="HM_3_B2">#REF!</definedName>
    <definedName name="HM_3_B3">#REF!</definedName>
    <definedName name="HM_3_R1">#REF!</definedName>
    <definedName name="HM_3_R2">#REF!</definedName>
    <definedName name="HM_3_R3">#REF!</definedName>
    <definedName name="HM_30" localSheetId="2">'Image Maps'!$G$4</definedName>
    <definedName name="HM_30">#REF!</definedName>
    <definedName name="HM_30_B1">#REF!</definedName>
    <definedName name="HM_30_B2">#REF!</definedName>
    <definedName name="HM_30_B3">#REF!</definedName>
    <definedName name="HM_30_R1">#REF!</definedName>
    <definedName name="HM_30_R2">#REF!</definedName>
    <definedName name="HM_30_R3">#REF!</definedName>
    <definedName name="HM_31" localSheetId="2">'Image Maps'!$H$4</definedName>
    <definedName name="HM_31">#REF!</definedName>
    <definedName name="HM_31_B1">#REF!</definedName>
    <definedName name="HM_31_B2">#REF!</definedName>
    <definedName name="HM_31_B3">#REF!</definedName>
    <definedName name="HM_31_R1">#REF!</definedName>
    <definedName name="HM_31_R2">#REF!</definedName>
    <definedName name="HM_31_R3">#REF!</definedName>
    <definedName name="HM_32" localSheetId="2">'Image Maps'!$I$4</definedName>
    <definedName name="HM_32">#REF!</definedName>
    <definedName name="HM_32_B1">#REF!</definedName>
    <definedName name="HM_32_B2">#REF!</definedName>
    <definedName name="HM_32_B3">#REF!</definedName>
    <definedName name="HM_32_R1">#REF!</definedName>
    <definedName name="HM_32_R2">#REF!</definedName>
    <definedName name="HM_32_R3">#REF!</definedName>
    <definedName name="HM_33" localSheetId="2">'Image Maps'!$J$4</definedName>
    <definedName name="HM_33">#REF!</definedName>
    <definedName name="HM_33_B1">#REF!</definedName>
    <definedName name="HM_33_B2">#REF!</definedName>
    <definedName name="HM_33_B3">#REF!</definedName>
    <definedName name="HM_33_R1">#REF!</definedName>
    <definedName name="HM_33_R2">#REF!</definedName>
    <definedName name="HM_33_R3">#REF!</definedName>
    <definedName name="HM_34" localSheetId="2">'Image Maps'!$K$4</definedName>
    <definedName name="HM_34">#REF!</definedName>
    <definedName name="HM_34_B1">#REF!</definedName>
    <definedName name="HM_34_B2">#REF!</definedName>
    <definedName name="HM_34_B3">#REF!</definedName>
    <definedName name="HM_34_R1">#REF!</definedName>
    <definedName name="HM_34_R2">#REF!</definedName>
    <definedName name="HM_34_R3">#REF!</definedName>
    <definedName name="HM_35" localSheetId="2">'Image Maps'!$L$4</definedName>
    <definedName name="HM_35">#REF!</definedName>
    <definedName name="HM_35_B1">#REF!</definedName>
    <definedName name="HM_35_B2">#REF!</definedName>
    <definedName name="HM_35_B3">#REF!</definedName>
    <definedName name="HM_35_R1">#REF!</definedName>
    <definedName name="HM_35_R2">#REF!</definedName>
    <definedName name="HM_35_R3">#REF!</definedName>
    <definedName name="HM_36" localSheetId="2">'Image Maps'!$M$4</definedName>
    <definedName name="HM_36">#REF!</definedName>
    <definedName name="HM_36_B1">#REF!</definedName>
    <definedName name="HM_36_B2">#REF!</definedName>
    <definedName name="HM_36_B3">#REF!</definedName>
    <definedName name="HM_36_R1">#REF!</definedName>
    <definedName name="HM_36_R2">#REF!</definedName>
    <definedName name="HM_36_R3">#REF!</definedName>
    <definedName name="HM_37" localSheetId="2">'Image Maps'!$B$5</definedName>
    <definedName name="HM_37">#REF!</definedName>
    <definedName name="HM_37_B1">#REF!</definedName>
    <definedName name="HM_37_B2">#REF!</definedName>
    <definedName name="HM_37_B3">#REF!</definedName>
    <definedName name="HM_37_R1">#REF!</definedName>
    <definedName name="HM_37_R2">#REF!</definedName>
    <definedName name="HM_37_R3">#REF!</definedName>
    <definedName name="HM_38" localSheetId="2">'Image Maps'!$C$5</definedName>
    <definedName name="HM_38">#REF!</definedName>
    <definedName name="HM_38_B1">#REF!</definedName>
    <definedName name="HM_38_B2">#REF!</definedName>
    <definedName name="HM_38_B3">#REF!</definedName>
    <definedName name="HM_38_R1">#REF!</definedName>
    <definedName name="HM_38_R2">#REF!</definedName>
    <definedName name="HM_38_R3">#REF!</definedName>
    <definedName name="HM_39" localSheetId="2">'Image Maps'!$D$5</definedName>
    <definedName name="HM_39">#REF!</definedName>
    <definedName name="HM_39_B1">#REF!</definedName>
    <definedName name="HM_39_B2">#REF!</definedName>
    <definedName name="HM_39_B3">#REF!</definedName>
    <definedName name="HM_39_R1">#REF!</definedName>
    <definedName name="HM_39_R2">#REF!</definedName>
    <definedName name="HM_39_R3">#REF!</definedName>
    <definedName name="HM_4" localSheetId="2">'Image Maps'!$E$2</definedName>
    <definedName name="HM_4">#REF!</definedName>
    <definedName name="HM_4_B1">#REF!</definedName>
    <definedName name="HM_4_B2">#REF!</definedName>
    <definedName name="HM_4_B3">#REF!</definedName>
    <definedName name="HM_4_R1">#REF!</definedName>
    <definedName name="HM_4_R2">#REF!</definedName>
    <definedName name="HM_4_R3">#REF!</definedName>
    <definedName name="HM_40" localSheetId="2">'Image Maps'!$E$5</definedName>
    <definedName name="HM_40">#REF!</definedName>
    <definedName name="HM_40_B1">#REF!</definedName>
    <definedName name="HM_40_B2">#REF!</definedName>
    <definedName name="HM_40_B3">#REF!</definedName>
    <definedName name="HM_40_R1">#REF!</definedName>
    <definedName name="HM_40_R2">#REF!</definedName>
    <definedName name="HM_40_R3">#REF!</definedName>
    <definedName name="HM_41" localSheetId="2">'Image Maps'!$F$5</definedName>
    <definedName name="HM_41">#REF!</definedName>
    <definedName name="HM_41_B1">#REF!</definedName>
    <definedName name="HM_41_B2">#REF!</definedName>
    <definedName name="HM_41_B3">#REF!</definedName>
    <definedName name="HM_41_R1">#REF!</definedName>
    <definedName name="HM_41_R2">#REF!</definedName>
    <definedName name="HM_41_R3">#REF!</definedName>
    <definedName name="HM_42" localSheetId="2">'Image Maps'!$G$5</definedName>
    <definedName name="HM_42">#REF!</definedName>
    <definedName name="HM_42_B1">#REF!</definedName>
    <definedName name="HM_42_B2">#REF!</definedName>
    <definedName name="HM_42_B3">#REF!</definedName>
    <definedName name="HM_42_R1">#REF!</definedName>
    <definedName name="HM_42_R2">#REF!</definedName>
    <definedName name="HM_42_R3">#REF!</definedName>
    <definedName name="HM_43" localSheetId="2">'Image Maps'!$H$5</definedName>
    <definedName name="HM_43">#REF!</definedName>
    <definedName name="HM_43_B1">#REF!</definedName>
    <definedName name="HM_43_B2">#REF!</definedName>
    <definedName name="HM_43_B3">#REF!</definedName>
    <definedName name="HM_43_R1">#REF!</definedName>
    <definedName name="HM_43_R2">#REF!</definedName>
    <definedName name="HM_43_R3">#REF!</definedName>
    <definedName name="HM_44" localSheetId="2">'Image Maps'!$I$5</definedName>
    <definedName name="HM_44">#REF!</definedName>
    <definedName name="HM_44_B1">#REF!</definedName>
    <definedName name="HM_44_B2">#REF!</definedName>
    <definedName name="HM_44_B3">#REF!</definedName>
    <definedName name="HM_44_R1">#REF!</definedName>
    <definedName name="HM_44_R2">#REF!</definedName>
    <definedName name="HM_44_R3">#REF!</definedName>
    <definedName name="HM_45" localSheetId="2">'Image Maps'!$J$5</definedName>
    <definedName name="HM_45">#REF!</definedName>
    <definedName name="HM_45_B1">#REF!</definedName>
    <definedName name="HM_45_B2">#REF!</definedName>
    <definedName name="HM_45_B3">#REF!</definedName>
    <definedName name="HM_45_R1">#REF!</definedName>
    <definedName name="HM_45_R2">#REF!</definedName>
    <definedName name="HM_45_R3">#REF!</definedName>
    <definedName name="HM_46" localSheetId="2">'Image Maps'!$K$5</definedName>
    <definedName name="HM_46">#REF!</definedName>
    <definedName name="HM_46_B1">#REF!</definedName>
    <definedName name="HM_46_B2">#REF!</definedName>
    <definedName name="HM_46_B3">#REF!</definedName>
    <definedName name="HM_46_R1">#REF!</definedName>
    <definedName name="HM_46_R2">#REF!</definedName>
    <definedName name="HM_46_R3">#REF!</definedName>
    <definedName name="HM_47" localSheetId="2">'Image Maps'!$L$5</definedName>
    <definedName name="HM_47">#REF!</definedName>
    <definedName name="HM_47_B1">#REF!</definedName>
    <definedName name="HM_47_B2">#REF!</definedName>
    <definedName name="HM_47_B3">#REF!</definedName>
    <definedName name="HM_47_R1">#REF!</definedName>
    <definedName name="HM_47_R2">#REF!</definedName>
    <definedName name="HM_47_R3">#REF!</definedName>
    <definedName name="HM_48" localSheetId="2">'Image Maps'!$M$5</definedName>
    <definedName name="HM_48">#REF!</definedName>
    <definedName name="HM_48_B1">#REF!</definedName>
    <definedName name="HM_48_B2">#REF!</definedName>
    <definedName name="HM_48_B3">#REF!</definedName>
    <definedName name="HM_48_R1">#REF!</definedName>
    <definedName name="HM_48_R2">#REF!</definedName>
    <definedName name="HM_48_R3">#REF!</definedName>
    <definedName name="HM_49" localSheetId="2">'Image Maps'!$B$6</definedName>
    <definedName name="HM_49">#REF!</definedName>
    <definedName name="HM_49_B1">#REF!</definedName>
    <definedName name="HM_49_B2">#REF!</definedName>
    <definedName name="HM_49_B3">#REF!</definedName>
    <definedName name="HM_49_R1">#REF!</definedName>
    <definedName name="HM_49_R2">#REF!</definedName>
    <definedName name="HM_49_R3">#REF!</definedName>
    <definedName name="HM_5" localSheetId="2">'Image Maps'!$F$2</definedName>
    <definedName name="HM_5">#REF!</definedName>
    <definedName name="HM_5_B1">#REF!</definedName>
    <definedName name="HM_5_B2">#REF!</definedName>
    <definedName name="HM_5_B3">#REF!</definedName>
    <definedName name="HM_5_R1">#REF!</definedName>
    <definedName name="HM_5_R2">#REF!</definedName>
    <definedName name="HM_5_R3">#REF!</definedName>
    <definedName name="HM_50" localSheetId="2">'Image Maps'!$C$6</definedName>
    <definedName name="HM_50">#REF!</definedName>
    <definedName name="HM_50_B1">#REF!</definedName>
    <definedName name="HM_50_B2">#REF!</definedName>
    <definedName name="HM_50_B3">#REF!</definedName>
    <definedName name="HM_50_R1">#REF!</definedName>
    <definedName name="HM_50_R2">#REF!</definedName>
    <definedName name="HM_50_R3">#REF!</definedName>
    <definedName name="HM_51" localSheetId="2">'Image Maps'!$D$6</definedName>
    <definedName name="HM_51">#REF!</definedName>
    <definedName name="HM_51_B1">#REF!</definedName>
    <definedName name="HM_51_B2">#REF!</definedName>
    <definedName name="HM_51_B3">#REF!</definedName>
    <definedName name="HM_51_R1">#REF!</definedName>
    <definedName name="HM_51_R2">#REF!</definedName>
    <definedName name="HM_51_R3">#REF!</definedName>
    <definedName name="HM_52" localSheetId="2">'Image Maps'!$E$6</definedName>
    <definedName name="HM_52">#REF!</definedName>
    <definedName name="HM_52_B1">#REF!</definedName>
    <definedName name="HM_52_B2">#REF!</definedName>
    <definedName name="HM_52_B3">#REF!</definedName>
    <definedName name="HM_52_R1">#REF!</definedName>
    <definedName name="HM_52_R2">#REF!</definedName>
    <definedName name="HM_52_R3">#REF!</definedName>
    <definedName name="HM_53" localSheetId="2">'Image Maps'!$F$6</definedName>
    <definedName name="HM_53">#REF!</definedName>
    <definedName name="HM_53_B1">#REF!</definedName>
    <definedName name="HM_53_B2">#REF!</definedName>
    <definedName name="HM_53_B3">#REF!</definedName>
    <definedName name="HM_53_R1">#REF!</definedName>
    <definedName name="HM_53_R2">#REF!</definedName>
    <definedName name="HM_53_R3">#REF!</definedName>
    <definedName name="HM_54" localSheetId="2">'Image Maps'!$G$6</definedName>
    <definedName name="HM_54">#REF!</definedName>
    <definedName name="HM_54_B1">#REF!</definedName>
    <definedName name="HM_54_B2">#REF!</definedName>
    <definedName name="HM_54_B3">#REF!</definedName>
    <definedName name="HM_54_R1">#REF!</definedName>
    <definedName name="HM_54_R2">#REF!</definedName>
    <definedName name="HM_54_R3">#REF!</definedName>
    <definedName name="HM_55" localSheetId="2">'Image Maps'!$H$6</definedName>
    <definedName name="HM_55">#REF!</definedName>
    <definedName name="HM_55_B1">#REF!</definedName>
    <definedName name="HM_55_B2">#REF!</definedName>
    <definedName name="HM_55_B3">#REF!</definedName>
    <definedName name="HM_55_R1">#REF!</definedName>
    <definedName name="HM_55_R2">#REF!</definedName>
    <definedName name="HM_55_R3">#REF!</definedName>
    <definedName name="HM_56" localSheetId="2">'Image Maps'!$I$6</definedName>
    <definedName name="HM_56">#REF!</definedName>
    <definedName name="HM_56_B1">#REF!</definedName>
    <definedName name="HM_56_B2">#REF!</definedName>
    <definedName name="HM_56_B3">#REF!</definedName>
    <definedName name="HM_56_R1">#REF!</definedName>
    <definedName name="HM_56_R2">#REF!</definedName>
    <definedName name="HM_56_R3">#REF!</definedName>
    <definedName name="HM_57" localSheetId="2">'Image Maps'!$J$6</definedName>
    <definedName name="HM_57">#REF!</definedName>
    <definedName name="HM_57_B1">#REF!</definedName>
    <definedName name="HM_57_B2">#REF!</definedName>
    <definedName name="HM_57_B3">#REF!</definedName>
    <definedName name="HM_57_R1">#REF!</definedName>
    <definedName name="HM_57_R2">#REF!</definedName>
    <definedName name="HM_57_R3">#REF!</definedName>
    <definedName name="HM_58" localSheetId="2">'Image Maps'!$K$6</definedName>
    <definedName name="HM_58">#REF!</definedName>
    <definedName name="HM_58_B1">#REF!</definedName>
    <definedName name="HM_58_B2">#REF!</definedName>
    <definedName name="HM_58_B3">#REF!</definedName>
    <definedName name="HM_58_R1">#REF!</definedName>
    <definedName name="HM_58_R2">#REF!</definedName>
    <definedName name="HM_58_R3">#REF!</definedName>
    <definedName name="HM_59" localSheetId="2">'Image Maps'!$L$6</definedName>
    <definedName name="HM_59">#REF!</definedName>
    <definedName name="HM_59_B1">#REF!</definedName>
    <definedName name="HM_59_B2">#REF!</definedName>
    <definedName name="HM_59_B3">#REF!</definedName>
    <definedName name="HM_59_R1">#REF!</definedName>
    <definedName name="HM_59_R2">#REF!</definedName>
    <definedName name="HM_59_R3">#REF!</definedName>
    <definedName name="HM_6" localSheetId="2">'Image Maps'!$G$2</definedName>
    <definedName name="HM_6">#REF!</definedName>
    <definedName name="HM_6_B1">#REF!</definedName>
    <definedName name="HM_6_B2">#REF!</definedName>
    <definedName name="HM_6_B3">#REF!</definedName>
    <definedName name="HM_6_R1">#REF!</definedName>
    <definedName name="HM_6_R2">#REF!</definedName>
    <definedName name="HM_6_R3">#REF!</definedName>
    <definedName name="HM_60" localSheetId="2">'Image Maps'!$M$6</definedName>
    <definedName name="HM_60">#REF!</definedName>
    <definedName name="HM_60_B1">#REF!</definedName>
    <definedName name="HM_60_B2">#REF!</definedName>
    <definedName name="HM_60_B3">#REF!</definedName>
    <definedName name="HM_60_R1">#REF!</definedName>
    <definedName name="HM_60_R2">#REF!</definedName>
    <definedName name="HM_60_R3">#REF!</definedName>
    <definedName name="HM_61" localSheetId="2">'Image Maps'!$B$7</definedName>
    <definedName name="HM_61">#REF!</definedName>
    <definedName name="HM_61_B1">#REF!</definedName>
    <definedName name="HM_61_B2">#REF!</definedName>
    <definedName name="HM_61_B3">#REF!</definedName>
    <definedName name="HM_61_R1">#REF!</definedName>
    <definedName name="HM_61_R2">#REF!</definedName>
    <definedName name="HM_61_R3">#REF!</definedName>
    <definedName name="HM_62" localSheetId="2">'Image Maps'!$C$7</definedName>
    <definedName name="HM_62">#REF!</definedName>
    <definedName name="HM_62_B1">#REF!</definedName>
    <definedName name="HM_62_B2">#REF!</definedName>
    <definedName name="HM_62_B3">#REF!</definedName>
    <definedName name="HM_62_R1">#REF!</definedName>
    <definedName name="HM_62_R2">#REF!</definedName>
    <definedName name="HM_62_R3">#REF!</definedName>
    <definedName name="HM_63" localSheetId="2">'Image Maps'!$D$7</definedName>
    <definedName name="HM_63">#REF!</definedName>
    <definedName name="HM_63_B1">#REF!</definedName>
    <definedName name="HM_63_B2">#REF!</definedName>
    <definedName name="HM_63_B3">#REF!</definedName>
    <definedName name="HM_63_R1">#REF!</definedName>
    <definedName name="HM_63_R2">#REF!</definedName>
    <definedName name="HM_63_R3">#REF!</definedName>
    <definedName name="HM_64" localSheetId="2">'Image Maps'!$E$7</definedName>
    <definedName name="HM_64">#REF!</definedName>
    <definedName name="HM_64_B1">#REF!</definedName>
    <definedName name="HM_64_B2">#REF!</definedName>
    <definedName name="HM_64_B3">#REF!</definedName>
    <definedName name="HM_64_R1">#REF!</definedName>
    <definedName name="HM_64_R2">#REF!</definedName>
    <definedName name="HM_64_R3">#REF!</definedName>
    <definedName name="HM_65" localSheetId="2">'Image Maps'!$F$7</definedName>
    <definedName name="HM_65">#REF!</definedName>
    <definedName name="HM_65_B1">#REF!</definedName>
    <definedName name="HM_65_B2">#REF!</definedName>
    <definedName name="HM_65_B3">#REF!</definedName>
    <definedName name="HM_65_R1">#REF!</definedName>
    <definedName name="HM_65_R2">#REF!</definedName>
    <definedName name="HM_65_R3">#REF!</definedName>
    <definedName name="HM_66" localSheetId="2">'Image Maps'!$G$7</definedName>
    <definedName name="HM_66">#REF!</definedName>
    <definedName name="HM_66_B1">#REF!</definedName>
    <definedName name="HM_66_B2">#REF!</definedName>
    <definedName name="HM_66_B3">#REF!</definedName>
    <definedName name="HM_66_R1">#REF!</definedName>
    <definedName name="HM_66_R2">#REF!</definedName>
    <definedName name="HM_66_R3">#REF!</definedName>
    <definedName name="HM_67" localSheetId="2">'Image Maps'!$H$7</definedName>
    <definedName name="HM_67">#REF!</definedName>
    <definedName name="HM_67_B1">#REF!</definedName>
    <definedName name="HM_67_B2">#REF!</definedName>
    <definedName name="HM_67_B3">#REF!</definedName>
    <definedName name="HM_67_R1">#REF!</definedName>
    <definedName name="HM_67_R2">#REF!</definedName>
    <definedName name="HM_67_R3">#REF!</definedName>
    <definedName name="HM_68" localSheetId="2">'Image Maps'!$I$7</definedName>
    <definedName name="HM_68">#REF!</definedName>
    <definedName name="HM_68_B1">#REF!</definedName>
    <definedName name="HM_68_B2">#REF!</definedName>
    <definedName name="HM_68_B3">#REF!</definedName>
    <definedName name="HM_68_R1">#REF!</definedName>
    <definedName name="HM_68_R2">#REF!</definedName>
    <definedName name="HM_68_R3">#REF!</definedName>
    <definedName name="HM_69" localSheetId="2">'Image Maps'!$J$7</definedName>
    <definedName name="HM_69">#REF!</definedName>
    <definedName name="HM_69_B1">#REF!</definedName>
    <definedName name="HM_69_B2">#REF!</definedName>
    <definedName name="HM_69_B3">#REF!</definedName>
    <definedName name="HM_69_R1">#REF!</definedName>
    <definedName name="HM_69_R2">#REF!</definedName>
    <definedName name="HM_69_R3">#REF!</definedName>
    <definedName name="HM_7" localSheetId="2">'Image Maps'!$H$2</definedName>
    <definedName name="HM_7">#REF!</definedName>
    <definedName name="HM_7_B1">#REF!</definedName>
    <definedName name="HM_7_B2">#REF!</definedName>
    <definedName name="HM_7_B3">#REF!</definedName>
    <definedName name="HM_7_R1">#REF!</definedName>
    <definedName name="HM_7_R2">#REF!</definedName>
    <definedName name="HM_7_R3">#REF!</definedName>
    <definedName name="HM_70" localSheetId="2">'Image Maps'!$K$7</definedName>
    <definedName name="HM_70">#REF!</definedName>
    <definedName name="HM_70_B1">#REF!</definedName>
    <definedName name="HM_70_B2">#REF!</definedName>
    <definedName name="HM_70_B3">#REF!</definedName>
    <definedName name="HM_70_R1">#REF!</definedName>
    <definedName name="HM_70_R2">#REF!</definedName>
    <definedName name="HM_70_R3">#REF!</definedName>
    <definedName name="HM_71" localSheetId="2">'Image Maps'!$L$7</definedName>
    <definedName name="HM_71">#REF!</definedName>
    <definedName name="HM_71_B1">#REF!</definedName>
    <definedName name="HM_71_B2">#REF!</definedName>
    <definedName name="HM_71_B3">#REF!</definedName>
    <definedName name="HM_71_R1">#REF!</definedName>
    <definedName name="HM_71_R2">#REF!</definedName>
    <definedName name="HM_71_R3">#REF!</definedName>
    <definedName name="HM_72" localSheetId="2">'Image Maps'!$M$7</definedName>
    <definedName name="HM_72">#REF!</definedName>
    <definedName name="HM_72_B1">#REF!</definedName>
    <definedName name="HM_72_B2">#REF!</definedName>
    <definedName name="HM_72_B3">#REF!</definedName>
    <definedName name="HM_72_R1">#REF!</definedName>
    <definedName name="HM_72_R2">#REF!</definedName>
    <definedName name="HM_72_R3">#REF!</definedName>
    <definedName name="HM_8" localSheetId="2">'Image Maps'!$I$2</definedName>
    <definedName name="HM_8">#REF!</definedName>
    <definedName name="HM_8_B1">#REF!</definedName>
    <definedName name="HM_8_B2">#REF!</definedName>
    <definedName name="HM_8_B3">#REF!</definedName>
    <definedName name="HM_8_R1">#REF!</definedName>
    <definedName name="HM_8_R2">#REF!</definedName>
    <definedName name="HM_8_R3">#REF!</definedName>
    <definedName name="HM_9" localSheetId="2">'Image Maps'!$J$2</definedName>
    <definedName name="HM_9">#REF!</definedName>
    <definedName name="HM_9_B1">#REF!</definedName>
    <definedName name="HM_9_B2">#REF!</definedName>
    <definedName name="HM_9_B3">#REF!</definedName>
    <definedName name="HM_9_R1">#REF!</definedName>
    <definedName name="HM_9_R2">#REF!</definedName>
    <definedName name="HM_9_R3">#REF!</definedName>
    <definedName name="key">#REF!</definedName>
    <definedName name="last_match_key">#REF!</definedName>
    <definedName name="lastCallTime">#REF!</definedName>
    <definedName name="Levels">#REF!</definedName>
    <definedName name="losses">#REF!</definedName>
    <definedName name="match_comp_level">#REF!</definedName>
    <definedName name="match_key">#REF!</definedName>
    <definedName name="match_level">#REF!</definedName>
    <definedName name="match_number">#REF!</definedName>
    <definedName name="match_winning_alliance">#REF!</definedName>
    <definedName name="matches_played">#REF!</definedName>
    <definedName name="motto">#REF!</definedName>
    <definedName name="MS_BLUE_ALLIANCE_DEFENSE">#REF!,#REF!,#REF!</definedName>
    <definedName name="name">#REF!</definedName>
    <definedName name="nickname">#REF!</definedName>
    <definedName name="num_teams">#REF!</definedName>
    <definedName name="overall_status_str">#REF!</definedName>
    <definedName name="playoff_status_str">#REF!</definedName>
    <definedName name="postal_code">#REF!</definedName>
    <definedName name="_xlnm.Print_Area" localSheetId="2">'Image Maps'!$B$2:$M$7</definedName>
    <definedName name="rank">#REF!</definedName>
    <definedName name="RankingScore">#REF!</definedName>
    <definedName name="REC_1">#REF!</definedName>
    <definedName name="REC_10">#REF!</definedName>
    <definedName name="REC_2">#REF!</definedName>
    <definedName name="REC_3">#REF!</definedName>
    <definedName name="REC_4">#REF!</definedName>
    <definedName name="REC_5">#REF!</definedName>
    <definedName name="REC_6">#REF!</definedName>
    <definedName name="REC_7">#REF!</definedName>
    <definedName name="REC_8">#REF!</definedName>
    <definedName name="REC_9">#REF!</definedName>
    <definedName name="red_1">#REF!</definedName>
    <definedName name="RED_1_AUTO_TAXI_PCT">#REF!</definedName>
    <definedName name="RED_1_AVG_AUTO_LOW_CARGO">#REF!</definedName>
    <definedName name="RED_1_AVG_AUTO_PU">#REF!</definedName>
    <definedName name="RED_1_AVG_AUTO_UP_CARGO">#REF!</definedName>
    <definedName name="RED_1_AVG_LOW_CARGO">#REF!</definedName>
    <definedName name="RED_1_AVG_SCORE">#REF!</definedName>
    <definedName name="RED_1_AVG_UP_CARGO">#REF!</definedName>
    <definedName name="RED_1_CLIMB_PCT">#REF!</definedName>
    <definedName name="RED_1_DEFENSE">#REF!</definedName>
    <definedName name="RED_1_SHOOTING_LOCS">#REF!</definedName>
    <definedName name="red_1_teams">#REF!</definedName>
    <definedName name="RED_1_WALLBOT">#REF!</definedName>
    <definedName name="red_2">#REF!</definedName>
    <definedName name="RED_2_AUTO_TAXI_PCT">#REF!</definedName>
    <definedName name="RED_2_AVG_AUTO_LOW_CARGO">#REF!</definedName>
    <definedName name="RED_2_AVG_AUTO_PU">#REF!</definedName>
    <definedName name="RED_2_AVG_AUTO_UP_CARGO">#REF!</definedName>
    <definedName name="RED_2_AVG_LOW_CARGO">#REF!</definedName>
    <definedName name="RED_2_AVG_SCORE">#REF!</definedName>
    <definedName name="RED_2_AVG_UP_CARGO">#REF!</definedName>
    <definedName name="RED_2_CLIMB_PCT">#REF!</definedName>
    <definedName name="RED_2_DEFENSE">#REF!</definedName>
    <definedName name="RED_2_SHOOTING_LOCS">#REF!</definedName>
    <definedName name="red_2_teams">#REF!</definedName>
    <definedName name="RED_2_WALLBOT">#REF!</definedName>
    <definedName name="red_3">#REF!</definedName>
    <definedName name="RED_3_AUTO_TAXI_PCT">#REF!</definedName>
    <definedName name="RED_3_AVG_AUTO_LOW_CARGO">#REF!</definedName>
    <definedName name="RED_3_AVG_AUTO_PU">#REF!</definedName>
    <definedName name="RED_3_AVG_AUTO_UP_CARGO">#REF!</definedName>
    <definedName name="RED_3_AVG_LOW_CARGO">#REF!</definedName>
    <definedName name="RED_3_AVG_SCORE">#REF!</definedName>
    <definedName name="RED_3_AVG_UP_CARGO">#REF!</definedName>
    <definedName name="RED_3_CLIMB_PCT">#REF!</definedName>
    <definedName name="RED_3_DEFENSE">#REF!</definedName>
    <definedName name="RED_3_SHOOTING_LOCS">#REF!</definedName>
    <definedName name="red_3_teams">#REF!</definedName>
    <definedName name="RED_3_WALLBOT">#REF!</definedName>
    <definedName name="red_adjustPoints">#REF!</definedName>
    <definedName name="red_autoCargoPoints">#REF!</definedName>
    <definedName name="red_autoOwnershipPoints">#REF!</definedName>
    <definedName name="red_autoPoints">#REF!</definedName>
    <definedName name="red_autoQuestRankingPoint">#REF!</definedName>
    <definedName name="red_autoRobot1">#REF!</definedName>
    <definedName name="red_autoRobot2">#REF!</definedName>
    <definedName name="red_autoRobot3">#REF!</definedName>
    <definedName name="red_autoScaleOwnershipSec">#REF!</definedName>
    <definedName name="red_autoSwitchAtZero">#REF!</definedName>
    <definedName name="red_autoSwitchOwnershipSec">#REF!</definedName>
    <definedName name="red_autoTaxiPoints">#REF!</definedName>
    <definedName name="red_bay1">#REF!</definedName>
    <definedName name="red_bay2">#REF!</definedName>
    <definedName name="red_bay3">#REF!</definedName>
    <definedName name="red_bay4">#REF!</definedName>
    <definedName name="red_bay5">#REF!</definedName>
    <definedName name="red_bay6">#REF!</definedName>
    <definedName name="red_bay7">#REF!</definedName>
    <definedName name="red_bay8">#REF!</definedName>
    <definedName name="red_cargoBonusRankingPoint">#REF!</definedName>
    <definedName name="red_cargoPoints">#REF!</definedName>
    <definedName name="red_completedRocketFar">#REF!</definedName>
    <definedName name="red_completedRocketNear">#REF!</definedName>
    <definedName name="red_completeRocketRankingPoint">#REF!</definedName>
    <definedName name="red_endgamePoints">#REF!</definedName>
    <definedName name="red_endgameRobot1">#REF!</definedName>
    <definedName name="red_endgameRobot2">#REF!</definedName>
    <definedName name="red_endgameRobot3">#REF!</definedName>
    <definedName name="RED_ESTIMATED_SCORE">#REF!</definedName>
    <definedName name="red_faceTheBossRankingPoint">#REF!</definedName>
    <definedName name="red_foulCount">#REF!</definedName>
    <definedName name="red_foulPoints">#REF!</definedName>
    <definedName name="red_habClimbPoints">#REF!</definedName>
    <definedName name="red_habDockingRankingPoint">#REF!</definedName>
    <definedName name="red_habLineRobot1">#REF!</definedName>
    <definedName name="red_habLineRobot2">#REF!</definedName>
    <definedName name="red_habLineRobot3">#REF!</definedName>
    <definedName name="red_hangarBonusRankingPoint">#REF!</definedName>
    <definedName name="red_hatchPanelPoints">#REF!</definedName>
    <definedName name="red_lowLeftRocketFar">#REF!</definedName>
    <definedName name="red_lowLeftRocketNear">#REF!</definedName>
    <definedName name="red_lowRightRocketFar">#REF!</definedName>
    <definedName name="red_lowRightRocketNear">#REF!</definedName>
    <definedName name="red_matchCargoTotal">#REF!</definedName>
    <definedName name="red_midLeftRocketFar">#REF!</definedName>
    <definedName name="red_midLeftRocketNear">#REF!</definedName>
    <definedName name="red_midRightRocketFar">#REF!</definedName>
    <definedName name="red_midRightRocketNear">#REF!</definedName>
    <definedName name="red_preMatchBay1">#REF!</definedName>
    <definedName name="red_preMatchBay2">#REF!</definedName>
    <definedName name="red_preMatchBay3">#REF!</definedName>
    <definedName name="red_preMatchBay6">#REF!</definedName>
    <definedName name="red_preMatchBay7">#REF!</definedName>
    <definedName name="red_preMatchBay8">#REF!</definedName>
    <definedName name="red_preMatchLevelRobot1">#REF!</definedName>
    <definedName name="red_preMatchLevelRobot2">#REF!</definedName>
    <definedName name="red_preMatchLevelRobot3">#REF!</definedName>
    <definedName name="red_quintetAchieved">#REF!</definedName>
    <definedName name="red_rp">#REF!</definedName>
    <definedName name="red_sandStormBonusPoints">#REF!</definedName>
    <definedName name="red_score">#REF!</definedName>
    <definedName name="red_taxiRobot1">#REF!</definedName>
    <definedName name="red_taxiRobot2">#REF!</definedName>
    <definedName name="red_taxiRobot3">#REF!</definedName>
    <definedName name="red_tba_gameData">#REF!</definedName>
    <definedName name="red_team_keys_1">#REF!</definedName>
    <definedName name="red_team_keys_2">#REF!</definedName>
    <definedName name="red_team_keys_3">#REF!</definedName>
    <definedName name="red_techFoulCount">#REF!</definedName>
    <definedName name="red_teleopCargoPoints">#REF!</definedName>
    <definedName name="red_teleopCargoTotal">#REF!</definedName>
    <definedName name="red_teleopOwnershipPoints">#REF!</definedName>
    <definedName name="red_teleopPoints">#REF!</definedName>
    <definedName name="red_teleopScaleBoostSec">#REF!</definedName>
    <definedName name="red_teleopScaleOwnershipSec">#REF!</definedName>
    <definedName name="red_teleopSwitchBoostSec">#REF!</definedName>
    <definedName name="red_teleopSwitchOwnershipSec">#REF!</definedName>
    <definedName name="red_topLeftRocketFar">#REF!</definedName>
    <definedName name="red_topLeftRocketNear">#REF!</definedName>
    <definedName name="red_topRightRocketFar">#REF!</definedName>
    <definedName name="red_topRightRocketNear">#REF!</definedName>
    <definedName name="red_totalPoints">#REF!</definedName>
    <definedName name="red_vaultBoostPlayed">#REF!</definedName>
    <definedName name="red_vaultBoostTotal">#REF!</definedName>
    <definedName name="red_vaultForcePlayed">#REF!</definedName>
    <definedName name="red_vaultForceTotal">#REF!</definedName>
    <definedName name="red_vaultLevitatePlayed">#REF!</definedName>
    <definedName name="red_vaultLevitateTotal">#REF!</definedName>
    <definedName name="red_vaultPoints">#REF!</definedName>
    <definedName name="RED1_NFP">#REF!</definedName>
    <definedName name="RED1_SS">#REF!</definedName>
    <definedName name="RobotNum" localSheetId="2">#REF!</definedName>
    <definedName name="RobotNum">#REF!</definedName>
    <definedName name="rookie_year">#REF!</definedName>
    <definedName name="SandstormBonus">#REF!</definedName>
    <definedName name="Scouters" localSheetId="2">#REF!</definedName>
    <definedName name="Scouters">#REF!</definedName>
    <definedName name="sort_orders_1">#REF!</definedName>
    <definedName name="sort_orders_2">#REF!</definedName>
    <definedName name="sort_orders_3">#REF!</definedName>
    <definedName name="sort_orders_4">#REF!</definedName>
    <definedName name="sort_orders_5">#REF!</definedName>
    <definedName name="Speed" localSheetId="2">#REF!</definedName>
    <definedName name="Speed">#REF!</definedName>
    <definedName name="START_BOTTOM">#REF!</definedName>
    <definedName name="START_MIDDLE">#REF!</definedName>
    <definedName name="START_TOP">#REF!</definedName>
    <definedName name="state_prov">#REF!</definedName>
    <definedName name="statusCode">#REF!</definedName>
    <definedName name="statusDesc">#REF!</definedName>
    <definedName name="team_number">#REF!</definedName>
    <definedName name="TeleopCellAndCPanel">#REF!</definedName>
    <definedName name="teleopScaleForceSec">#REF!</definedName>
    <definedName name="ties">#REF!</definedName>
    <definedName name="website">#REF!</definedName>
    <definedName name="wins">#REF!</definedName>
    <definedName name="YN" localSheetId="2">#REF!</definedName>
    <definedName name="YN">#REF!</definedName>
  </definedNames>
  <calcPr calcId="191029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AH5" i="2" l="1"/>
  <c r="AM4" i="2"/>
  <c r="AT5" i="2"/>
  <c r="AT4" i="2"/>
  <c r="AS4" i="2"/>
  <c r="AO4" i="2"/>
  <c r="AH4" i="2"/>
  <c r="AR4" i="2"/>
  <c r="AS5" i="2"/>
  <c r="AQ4" i="2"/>
  <c r="AV5" i="2"/>
  <c r="AI4" i="2"/>
  <c r="AP4" i="2"/>
  <c r="AW5" i="2"/>
  <c r="AI5" i="2"/>
  <c r="AJ4" i="2"/>
  <c r="AJ5" i="2"/>
  <c r="AK4" i="2"/>
  <c r="AK5" i="2"/>
  <c r="AP5" i="2"/>
  <c r="AV4" i="2"/>
  <c r="AL5" i="2"/>
  <c r="AL4" i="2"/>
  <c r="AM5" i="2"/>
  <c r="AQ5" i="2"/>
  <c r="AW4" i="2"/>
  <c r="AO5" i="2"/>
  <c r="AR5" i="2"/>
  <c r="AN5" i="2" l="1"/>
  <c r="AU4" i="2"/>
  <c r="AX4" i="2" s="1"/>
  <c r="AU5" i="2"/>
  <c r="AX5" i="2" s="1"/>
  <c r="AN4" i="2"/>
</calcChain>
</file>

<file path=xl/sharedStrings.xml><?xml version="1.0" encoding="utf-8"?>
<sst xmlns="http://schemas.openxmlformats.org/spreadsheetml/2006/main" count="109" uniqueCount="101">
  <si>
    <t>scouter</t>
  </si>
  <si>
    <t>eventCode</t>
  </si>
  <si>
    <t>matchLevel</t>
  </si>
  <si>
    <t>matchNumber</t>
  </si>
  <si>
    <t>robot</t>
  </si>
  <si>
    <t>teamNumber</t>
  </si>
  <si>
    <t>as</t>
  </si>
  <si>
    <t>asg</t>
  </si>
  <si>
    <t>acc</t>
  </si>
  <si>
    <t>acs</t>
  </si>
  <si>
    <t>am</t>
  </si>
  <si>
    <t>ad</t>
  </si>
  <si>
    <t>tsg</t>
  </si>
  <si>
    <t>tdg</t>
  </si>
  <si>
    <t>tfc</t>
  </si>
  <si>
    <t>wf</t>
  </si>
  <si>
    <t>wd</t>
  </si>
  <si>
    <t>who</t>
  </si>
  <si>
    <t>lnk</t>
  </si>
  <si>
    <t>fpu</t>
  </si>
  <si>
    <t>dt</t>
  </si>
  <si>
    <t>fs</t>
  </si>
  <si>
    <t>dn</t>
  </si>
  <si>
    <t>ds</t>
  </si>
  <si>
    <t>ls</t>
  </si>
  <si>
    <t>dr</t>
  </si>
  <si>
    <t>sr</t>
  </si>
  <si>
    <t>pps</t>
  </si>
  <si>
    <t>die</t>
  </si>
  <si>
    <t>tip</t>
  </si>
  <si>
    <t>co</t>
  </si>
  <si>
    <t>qm</t>
  </si>
  <si>
    <t>x</t>
  </si>
  <si>
    <t>Match #</t>
  </si>
  <si>
    <t>Start Pos</t>
  </si>
  <si>
    <t>Team #</t>
  </si>
  <si>
    <t>Crossed Cable</t>
  </si>
  <si>
    <t>Pre-Match</t>
  </si>
  <si>
    <t>Auto</t>
  </si>
  <si>
    <t>Teleop</t>
  </si>
  <si>
    <t>Cross Charge Station</t>
  </si>
  <si>
    <t>Mobility?</t>
  </si>
  <si>
    <t>Engaged? (Points)</t>
  </si>
  <si>
    <t>Grid Score</t>
  </si>
  <si>
    <t>Dropped Cnt</t>
  </si>
  <si>
    <t>Feeder Cnt</t>
  </si>
  <si>
    <t>Was Fed?</t>
  </si>
  <si>
    <t>Was Defended?</t>
  </si>
  <si>
    <t>Who Defended?</t>
  </si>
  <si>
    <t>Smart Grid Placement?</t>
  </si>
  <si>
    <t>Floor Pickup?</t>
  </si>
  <si>
    <t>Dock Timer</t>
  </si>
  <si>
    <t># Engaged</t>
  </si>
  <si>
    <t>Driver Skill</t>
  </si>
  <si>
    <t>Links Contributed to</t>
  </si>
  <si>
    <t>Defense Rating</t>
  </si>
  <si>
    <t>Speed Rating</t>
  </si>
  <si>
    <t>Preferred Pickup Strat</t>
  </si>
  <si>
    <t>Dies?</t>
  </si>
  <si>
    <t>Tippy?</t>
  </si>
  <si>
    <t>Comments?</t>
  </si>
  <si>
    <t>Auto Cones</t>
  </si>
  <si>
    <t>AutoCubes</t>
  </si>
  <si>
    <t>AutoHigh</t>
  </si>
  <si>
    <t>AutoMed</t>
  </si>
  <si>
    <t>AutoLow</t>
  </si>
  <si>
    <t>Auto Game Pieces Scored</t>
  </si>
  <si>
    <t>Tele Game Pieces Scored</t>
  </si>
  <si>
    <t>Tele Cones</t>
  </si>
  <si>
    <t>Tele Cubes</t>
  </si>
  <si>
    <t>TeleHigh</t>
  </si>
  <si>
    <t>TeleMed</t>
  </si>
  <si>
    <t>TeleLow</t>
  </si>
  <si>
    <t>Auto GP Score</t>
  </si>
  <si>
    <t>Tele GP Score</t>
  </si>
  <si>
    <t>Overall Score Contribution (No Auto Engage)</t>
  </si>
  <si>
    <t>Auto Scoring Totals</t>
  </si>
  <si>
    <t>Teleop Scoring Totals</t>
  </si>
  <si>
    <t>tct</t>
  </si>
  <si>
    <t>Cycle Timer</t>
  </si>
  <si>
    <t>asdfasd</t>
  </si>
  <si>
    <t>2023onwat</t>
  </si>
  <si>
    <t>b2</t>
  </si>
  <si>
    <t>[39]</t>
  </si>
  <si>
    <t>[13,14]</t>
  </si>
  <si>
    <t>[0.5,0.6,0.5,3.5]</t>
  </si>
  <si>
    <t>[3,4,8,2]</t>
  </si>
  <si>
    <t>fdgsdfg sdfgsdfg</t>
  </si>
  <si>
    <t>Avg Cycle Time</t>
  </si>
  <si>
    <t>Num Cycles</t>
  </si>
  <si>
    <t>asdasda</t>
  </si>
  <si>
    <t>r2</t>
  </si>
  <si>
    <t>[35]</t>
  </si>
  <si>
    <t>[14,2]</t>
  </si>
  <si>
    <t>[5.2,3.5,4.6]</t>
  </si>
  <si>
    <t>[4,5,6]</t>
  </si>
  <si>
    <t>o</t>
  </si>
  <si>
    <t>dls</t>
  </si>
  <si>
    <t>sadasd asdASFDJALKSDJFA SDsdalkfj asdlkj</t>
  </si>
  <si>
    <t>spr</t>
  </si>
  <si>
    <t>SuperCharged Nodes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</si>
</sst>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5" x14ac:knownFonts="1">
    <font>
      <sz val="11"/>
      <color theme="1"/>
      <name val="Calibri"/>
      <family val="2"/>
      <scheme val="minor"/>
    </font>
    <font>
      <sz val="11"/>
      <color rgb="FF000000"/>
      <name val="Calibri"/>
      <family val="2"/>
    </font>
    <font>
      <b/>
      <sz val="11"/>
      <color theme="1"/>
      <name val="Calibri"/>
      <family val="2"/>
      <scheme val="minor"/>
    </font>
    <font>
      <sz val="8"/>
      <name val="Calibri"/>
      <family val="2"/>
      <scheme val="minor"/>
    </font>
    <font>
      <sz val="11"/>
      <name val="Calibri"/>
      <family val="2"/>
      <scheme val="minor"/>
    </font>
  </fonts>
  <fills count="9">
    <fill>
      <patternFill patternType="none"/>
    </fill>
    <fill>
      <patternFill patternType="gray125"/>
    </fill>
    <fill>
      <patternFill patternType="solid">
        <fgColor theme="5" tint="0.79998168889431442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rgb="FFDFAFFF"/>
        <bgColor indexed="64"/>
      </patternFill>
    </fill>
    <fill>
      <patternFill patternType="solid">
        <fgColor rgb="FFB5F9F7"/>
        <bgColor indexed="64"/>
      </patternFill>
    </fill>
    <fill>
      <patternFill patternType="solid">
        <fgColor theme="0"/>
        <bgColor indexed="64"/>
      </patternFill>
    </fill>
  </fills>
  <borders count="3">
    <border>
      <left/>
      <right/>
      <top/>
      <bottom/>
      <diagonal/>
    </border>
    <border>
      <left/>
      <right/>
      <top style="thin">
        <color theme="4" tint="0.39997558519241921"/>
      </top>
      <bottom style="thin">
        <color theme="4" tint="0.3999755851924192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16">
    <xf numFmtId="0" fontId="0" fillId="0" borderId="0" xfId="0"/>
    <xf numFmtId="0" fontId="2" fillId="0" borderId="2" xfId="0" applyFont="1" applyBorder="1" applyAlignment="1">
      <alignment horizontal="center" vertical="center"/>
    </xf>
    <xf numFmtId="0" fontId="0" fillId="0" borderId="1" xfId="0" applyBorder="1"/>
    <xf numFmtId="0" fontId="4" fillId="2" borderId="0" xfId="0" applyFont="1" applyFill="1"/>
    <xf numFmtId="0" fontId="0" fillId="3" borderId="0" xfId="0" applyFill="1"/>
    <xf numFmtId="0" fontId="0" fillId="4" borderId="0" xfId="0" applyFill="1"/>
    <xf numFmtId="0" fontId="0" fillId="5" borderId="0" xfId="0" applyFill="1"/>
    <xf numFmtId="0" fontId="0" fillId="6" borderId="0" xfId="0" applyFill="1" applyAlignment="1">
      <alignment horizontal="center"/>
    </xf>
    <xf numFmtId="0" fontId="0" fillId="6" borderId="0" xfId="0" applyFill="1"/>
    <xf numFmtId="0" fontId="0" fillId="7" borderId="0" xfId="0" applyFill="1"/>
    <xf numFmtId="0" fontId="0" fillId="8" borderId="0" xfId="0" applyFill="1"/>
    <xf numFmtId="0" fontId="4" fillId="2" borderId="0" xfId="0" applyFont="1" applyFill="1" applyAlignment="1">
      <alignment horizontal="center"/>
    </xf>
    <xf numFmtId="0" fontId="0" fillId="3" borderId="0" xfId="0" applyFill="1" applyAlignment="1">
      <alignment horizontal="center"/>
    </xf>
    <xf numFmtId="0" fontId="0" fillId="7" borderId="0" xfId="0" applyFill="1" applyAlignment="1">
      <alignment horizontal="center"/>
    </xf>
    <xf numFmtId="0" fontId="0" fillId="6" borderId="0" xfId="0" applyFill="1" applyAlignment="1">
      <alignment horizontal="center"/>
    </xf>
    <xf numFmtId="0" fontId="0" fillId="4" borderId="0" xfId="0" applyFill="1" applyAlignment="1">
      <alignment horizontal="center"/>
    </xf>
  </cellXfs>
  <cellStyles count="1">
    <cellStyle name="Normal" xfId="0" builtinId="0"/>
  </cellStyles>
  <dxfs count="17"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</dxfs>
  <tableStyles count="0" defaultTableStyle="TableStyleMedium2" defaultPivotStyle="PivotStyleLight16"/>
  <colors>
    <mruColors>
      <color rgb="FFB5F9F7"/>
      <color rgb="FFDFAF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externalLink" Target="externalLinks/externalLink1.xml"/><Relationship Id="rId9" Type="http://schemas.microsoft.com/office/2006/relationships/vbaProject" Target="vbaProject.bin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drawings/_rels/drawing2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png"/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123825</xdr:colOff>
          <xdr:row>2</xdr:row>
          <xdr:rowOff>133350</xdr:rowOff>
        </xdr:from>
        <xdr:to>
          <xdr:col>4</xdr:col>
          <xdr:colOff>114300</xdr:colOff>
          <xdr:row>4</xdr:row>
          <xdr:rowOff>142875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Scan 1 QR Code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114300</xdr:colOff>
          <xdr:row>6</xdr:row>
          <xdr:rowOff>57150</xdr:rowOff>
        </xdr:from>
        <xdr:to>
          <xdr:col>4</xdr:col>
          <xdr:colOff>104775</xdr:colOff>
          <xdr:row>8</xdr:row>
          <xdr:rowOff>76200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Scan 6 QR Codes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561975</xdr:colOff>
          <xdr:row>35</xdr:row>
          <xdr:rowOff>85725</xdr:rowOff>
        </xdr:from>
        <xdr:to>
          <xdr:col>3</xdr:col>
          <xdr:colOff>552450</xdr:colOff>
          <xdr:row>37</xdr:row>
          <xdr:rowOff>95250</xdr:rowOff>
        </xdr:to>
        <xdr:sp macro="" textlink="">
          <xdr:nvSpPr>
            <xdr:cNvPr id="1027" name="Button 3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00000000-0008-0000-0000-00000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Don’t Use - Test SaveData()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0</xdr:colOff>
      <xdr:row>0</xdr:row>
      <xdr:rowOff>365760</xdr:rowOff>
    </xdr:from>
    <xdr:to>
      <xdr:col>13</xdr:col>
      <xdr:colOff>15240</xdr:colOff>
      <xdr:row>7</xdr:row>
      <xdr:rowOff>16244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09600" y="365760"/>
          <a:ext cx="5501640" cy="3060434"/>
        </a:xfrm>
        <a:prstGeom prst="rect">
          <a:avLst/>
        </a:prstGeom>
      </xdr:spPr>
    </xdr:pic>
    <xdr:clientData/>
  </xdr:twoCellAnchor>
  <xdr:twoCellAnchor editAs="oneCell">
    <xdr:from>
      <xdr:col>0</xdr:col>
      <xdr:colOff>579120</xdr:colOff>
      <xdr:row>7</xdr:row>
      <xdr:rowOff>167641</xdr:rowOff>
    </xdr:from>
    <xdr:to>
      <xdr:col>13</xdr:col>
      <xdr:colOff>25948</xdr:colOff>
      <xdr:row>20</xdr:row>
      <xdr:rowOff>152401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id="{00000000-0008-0000-02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79120" y="3577591"/>
          <a:ext cx="5542828" cy="2461260"/>
        </a:xfrm>
        <a:prstGeom prst="rect">
          <a:avLst/>
        </a:prstGeom>
      </xdr:spPr>
    </xdr:pic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2" Type="http://schemas.openxmlformats.org/officeDocument/2006/relationships/externalLinkPath" Target="file:///C:\Users\chris\Documents\GitHub\ScoutingPASS\Excel\2023%20Excel%20Skeleton.xlsm" TargetMode="External"/><Relationship Id="rId1" Type="http://schemas.openxmlformats.org/officeDocument/2006/relationships/externalLinkPath" Target="2023%20Excel%20Skeleton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>
      <xxl21:absoluteUrl r:id="rId2"/>
    </xxl21:alternateUrls>
    <sheetNames>
      <sheetName val="Control"/>
      <sheetName val="Image Maps"/>
      <sheetName val="Match Scouting Data"/>
      <sheetName val="Pit Scouting Data"/>
    </sheetNames>
    <sheetDataSet>
      <sheetData sheetId="0"/>
      <sheetData sheetId="1"/>
      <sheetData sheetId="2"/>
      <sheetData sheetId="3"/>
    </sheetDataSet>
  </externalBook>
</externalLink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BADCD403-9141-43AC-8253-2278F68D444C}" name="ScoutingData" displayName="ScoutingData" ref="A3:AX5" totalsRowShown="0">
  <autoFilter ref="A3:AX5" xr:uid="{BADCD403-9141-43AC-8253-2278F68D444C}"/>
  <tableColumns count="50">
    <tableColumn id="1" xr3:uid="{7C954142-AD20-4470-AC70-E6BB9236B695}" name="scouter"/>
    <tableColumn id="2" xr3:uid="{9BDFD5C1-95DA-4CB1-8E77-9F521C798300}" name="eventCode"/>
    <tableColumn id="3" xr3:uid="{9F8EDD83-70D7-4D03-AA3A-39BB9C176E36}" name="matchLevel"/>
    <tableColumn id="4" xr3:uid="{6E2493F2-6140-4D0B-A8B7-C35879765D1C}" name="matchNumber"/>
    <tableColumn id="5" xr3:uid="{83B37990-5C5F-481E-B363-6FF1813DDEC9}" name="robot"/>
    <tableColumn id="6" xr3:uid="{9342EE44-29F7-4C3B-BCA5-CB0B78AE1589}" name="teamNumber"/>
    <tableColumn id="7" xr3:uid="{D4F353DF-D6E2-4E38-A1A7-38A82489F298}" name="as"/>
    <tableColumn id="8" xr3:uid="{55A1074A-1524-47BE-913E-D13BF9CC93A4}" name="asg"/>
    <tableColumn id="9" xr3:uid="{67D1FDED-420E-48A8-B63C-D160FA84CF5B}" name="acc"/>
    <tableColumn id="10" xr3:uid="{58739C32-8B24-47A0-883D-377F0C73169B}" name="acs"/>
    <tableColumn id="11" xr3:uid="{68A27CB1-B907-493D-B997-8158E098710A}" name="am"/>
    <tableColumn id="12" xr3:uid="{ED2BCDD8-A055-4CA6-98C4-61C6C2F7C7A3}" name="ad"/>
    <tableColumn id="13" xr3:uid="{24279EA9-2217-4497-B188-BC970193B8FC}" name="tct"/>
    <tableColumn id="49" xr3:uid="{99B35DC3-9362-4C67-8454-38CDEE69A9DC}" name="tsg"/>
    <tableColumn id="14" xr3:uid="{1B6E4E9A-2E4A-481C-81A6-D09B06501C3C}" name="tdg"/>
    <tableColumn id="47" xr3:uid="{5E9C252A-7356-4B98-A352-C4AABD99B42D}" name="spr"/>
    <tableColumn id="15" xr3:uid="{A005A58D-533D-47FA-98FC-513A83895AD5}" name="tfc"/>
    <tableColumn id="16" xr3:uid="{97F08CAF-776B-4F7F-9D4D-0382D601F0D8}" name="wf"/>
    <tableColumn id="17" xr3:uid="{A1566EDE-3B00-45AA-B934-AE885BDA469F}" name="wd"/>
    <tableColumn id="18" xr3:uid="{22F7FDF0-2122-465F-8E51-FB674578462A}" name="who"/>
    <tableColumn id="19" xr3:uid="{6A401991-A4C0-40E4-A65E-076FD47C58D8}" name="lnk"/>
    <tableColumn id="20" xr3:uid="{81FE5A4F-60AA-41C9-8C2F-96C8E9B0F983}" name="fpu"/>
    <tableColumn id="21" xr3:uid="{55D79FB8-61B5-4161-B453-D3452DE2443D}" name="dt"/>
    <tableColumn id="22" xr3:uid="{B4517D1F-6EE6-4D75-A07E-2D7E54ACF96E}" name="fs"/>
    <tableColumn id="23" xr3:uid="{2CEDA015-687D-47C0-8CB7-29109B2C139B}" name="dn"/>
    <tableColumn id="24" xr3:uid="{7B7AFFEB-E8B9-47DD-AFDC-5EE17BBCEA8D}" name="ds"/>
    <tableColumn id="25" xr3:uid="{A99AA631-6358-4343-BDF5-6ED3A395D7A0}" name="ls"/>
    <tableColumn id="26" xr3:uid="{44FE1D93-6CB7-4851-A099-AAC8948F2020}" name="dr"/>
    <tableColumn id="27" xr3:uid="{6A01D776-0C05-47E6-9881-FE4443E7E28D}" name="sr"/>
    <tableColumn id="28" xr3:uid="{8E29CACA-31BC-403C-B22C-4694535E0568}" name="pps"/>
    <tableColumn id="29" xr3:uid="{18076256-C802-40FA-894D-D2D3FB85C588}" name="die"/>
    <tableColumn id="30" xr3:uid="{F8FB314F-46B9-481A-A866-86C82AFFC32F}" name="tip"/>
    <tableColumn id="31" xr3:uid="{FFE58B48-1ABF-48A1-8B04-C43DF17DE85A}" name="co"/>
    <tableColumn id="32" xr3:uid="{BB80D124-795E-47E6-A656-6DB73C92FAB9}" name="Auto Game Pieces Scored" dataDxfId="16">
      <calculatedColumnFormula>getTotalCount(H4)</calculatedColumnFormula>
    </tableColumn>
    <tableColumn id="33" xr3:uid="{7619F533-2882-4C5F-8BE8-828E6D1647C0}" name="Auto Cones" dataDxfId="15">
      <calculatedColumnFormula>getConeCount(H4)</calculatedColumnFormula>
    </tableColumn>
    <tableColumn id="34" xr3:uid="{74FB8C56-2FAD-4E0F-AE25-81081F1432E1}" name="AutoCubes" dataDxfId="14">
      <calculatedColumnFormula>getCubeCount(H4)</calculatedColumnFormula>
    </tableColumn>
    <tableColumn id="35" xr3:uid="{20548F5A-138B-4134-BE06-BAC239CCD6C4}" name="AutoHigh" dataDxfId="13">
      <calculatedColumnFormula>getHighCount(H4)</calculatedColumnFormula>
    </tableColumn>
    <tableColumn id="36" xr3:uid="{748842F9-C337-4170-BF4C-6C1A5425B207}" name="AutoMed" dataDxfId="12">
      <calculatedColumnFormula>getMedCount(H4)</calculatedColumnFormula>
    </tableColumn>
    <tableColumn id="37" xr3:uid="{4A21FC24-7821-4335-B04C-6DAA78920D5A}" name="AutoLow" dataDxfId="11">
      <calculatedColumnFormula>getLowCount(H4)</calculatedColumnFormula>
    </tableColumn>
    <tableColumn id="45" xr3:uid="{737B88DF-CA02-486D-981B-B79D1C47BC80}" name="Auto GP Score" dataDxfId="10">
      <calculatedColumnFormula>ScoutingData[[#This Row],[AutoLow]]*3+ScoutingData[[#This Row],[AutoMed]]*4+ScoutingData[[#This Row],[AutoHigh]]*6</calculatedColumnFormula>
    </tableColumn>
    <tableColumn id="38" xr3:uid="{46A76049-38D1-40F8-86F6-F80F5367EB5B}" name="Tele Game Pieces Scored" dataDxfId="9">
      <calculatedColumnFormula>getTotalCount(N4)</calculatedColumnFormula>
    </tableColumn>
    <tableColumn id="43" xr3:uid="{E9B02C9F-74E5-4868-9363-0CCED4D6A181}" name="Tele Cones" dataDxfId="8">
      <calculatedColumnFormula>getConeCount(N4)</calculatedColumnFormula>
    </tableColumn>
    <tableColumn id="42" xr3:uid="{71A3B9FD-74CC-4600-8084-CA65C261B738}" name="Tele Cubes" dataDxfId="7">
      <calculatedColumnFormula>getCubeCount(N4)</calculatedColumnFormula>
    </tableColumn>
    <tableColumn id="39" xr3:uid="{66DA0E29-B290-4280-A59C-51886B3C9D6D}" name="TeleHigh" dataDxfId="6">
      <calculatedColumnFormula>getHighCount(N4)</calculatedColumnFormula>
    </tableColumn>
    <tableColumn id="40" xr3:uid="{B21BA9D8-5BD6-4760-B49A-6884EA6E3A61}" name="TeleMed" dataDxfId="5">
      <calculatedColumnFormula>getMedCount(N4)</calculatedColumnFormula>
    </tableColumn>
    <tableColumn id="44" xr3:uid="{AD1870DA-1916-4466-AB8A-F1A260EBAA89}" name="TeleLow" dataDxfId="4">
      <calculatedColumnFormula>getLowCount(N4)</calculatedColumnFormula>
    </tableColumn>
    <tableColumn id="46" xr3:uid="{463BBC93-D60D-44A5-B124-DA6590DA07F6}" name="Tele GP Score" dataDxfId="3">
      <calculatedColumnFormula>ScoutingData[[#This Row],[TeleLow]]*2+ScoutingData[[#This Row],[TeleMed]]*3+ScoutingData[[#This Row],[TeleHigh]]*5</calculatedColumnFormula>
    </tableColumn>
    <tableColumn id="50" xr3:uid="{9D0EBBEE-0766-4271-8A2D-0864A28F6244}" name="Num Cycles" dataDxfId="2">
      <calculatedColumnFormula>getCycleCount(ScoutingData[[#This Row],[tct]])</calculatedColumnFormula>
    </tableColumn>
    <tableColumn id="48" xr3:uid="{C2CE3B4B-A999-464B-8B60-D8BA0B5FD268}" name="Avg Cycle Time" dataDxfId="1">
      <calculatedColumnFormula>getAvgCycleTime(ScoutingData[[#This Row],[tct]])</calculatedColumnFormula>
    </tableColumn>
    <tableColumn id="41" xr3:uid="{78649415-E47B-47FD-9395-9F7E5FB5C562}" name="Overall Score Contribution (No Auto Engage)" dataDxfId="0">
      <calculatedColumnFormula>ScoutingData[[#This Row],[Tele GP Score]]+ScoutingData[[#This Row],[Auto GP Score]]+IF(ISNUMBER(ScoutingData[[#This Row],[fs]]),ScoutingData[[#This Row],[fs]],0) +ScoutingData[[#This Row],[am]]*3</calculatedColumnFormula>
    </tableColumn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D8FCC35-05DD-4B30-ABA4-356FBBA4A6C4}">
  <sheetPr codeName="Sheet1"/>
  <dimension ref="A1"/>
  <sheetViews>
    <sheetView workbookViewId="0">
      <selection activeCell="C22" sqref="C22"/>
    </sheetView>
  </sheetViews>
  <sheetFormatPr defaultRowHeight="15" x14ac:dyDescent="0.25"/>
  <cols>
    <col min="1" max="9" width="10.42578125" customWidth="1"/>
    <col min="10" max="41" width="11.42578125" customWidth="1"/>
  </cols>
  <sheetData/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process1QRCodeInput">
                <anchor moveWithCells="1" sizeWithCells="1">
                  <from>
                    <xdr:col>1</xdr:col>
                    <xdr:colOff>123825</xdr:colOff>
                    <xdr:row>2</xdr:row>
                    <xdr:rowOff>133350</xdr:rowOff>
                  </from>
                  <to>
                    <xdr:col>4</xdr:col>
                    <xdr:colOff>114300</xdr:colOff>
                    <xdr:row>4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5" name="Button 2">
              <controlPr defaultSize="0" print="0" autoFill="0" autoPict="0" macro="[0]!process6QRCodeInput">
                <anchor moveWithCells="1" sizeWithCells="1">
                  <from>
                    <xdr:col>1</xdr:col>
                    <xdr:colOff>114300</xdr:colOff>
                    <xdr:row>6</xdr:row>
                    <xdr:rowOff>57150</xdr:rowOff>
                  </from>
                  <to>
                    <xdr:col>4</xdr:col>
                    <xdr:colOff>104775</xdr:colOff>
                    <xdr:row>8</xdr:row>
                    <xdr:rowOff>76200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7" r:id="rId6" name="Button 3">
              <controlPr defaultSize="0" print="0" autoFill="0" autoPict="0" macro="[0]!testSaveData">
                <anchor moveWithCells="1" sizeWithCells="1">
                  <from>
                    <xdr:col>0</xdr:col>
                    <xdr:colOff>561975</xdr:colOff>
                    <xdr:row>35</xdr:row>
                    <xdr:rowOff>85725</xdr:rowOff>
                  </from>
                  <to>
                    <xdr:col>3</xdr:col>
                    <xdr:colOff>552450</xdr:colOff>
                    <xdr:row>37</xdr:row>
                    <xdr:rowOff>95250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F3F52CF-7950-4933-93C1-5E5462DDAD16}">
  <sheetPr codeName="Sheet2"/>
  <dimension ref="A1:AX5"/>
  <sheetViews>
    <sheetView tabSelected="1" topLeftCell="AC1" workbookViewId="0">
      <selection activeCell="AP13" sqref="AP13"/>
    </sheetView>
  </sheetViews>
  <sheetFormatPr defaultRowHeight="15" x14ac:dyDescent="0.25"/>
  <cols>
    <col min="1" max="9" width="11" customWidth="1"/>
    <col min="10" max="50" width="12" customWidth="1"/>
  </cols>
  <sheetData>
    <row r="1" spans="1:50" x14ac:dyDescent="0.25">
      <c r="D1" s="11" t="s">
        <v>37</v>
      </c>
      <c r="E1" s="11"/>
      <c r="F1" s="11"/>
      <c r="G1" s="11"/>
      <c r="H1" s="12" t="s">
        <v>38</v>
      </c>
      <c r="I1" s="12"/>
      <c r="J1" s="12"/>
      <c r="K1" s="12"/>
      <c r="L1" s="12"/>
      <c r="M1" s="15" t="s">
        <v>39</v>
      </c>
      <c r="N1" s="15"/>
      <c r="O1" s="15"/>
      <c r="P1" s="15"/>
      <c r="Q1" s="15"/>
      <c r="R1" s="15"/>
      <c r="S1" s="15"/>
      <c r="T1" s="15"/>
      <c r="U1" s="15"/>
      <c r="V1" s="15"/>
      <c r="W1" s="15"/>
      <c r="X1" s="15"/>
      <c r="Y1" s="15"/>
      <c r="Z1" s="6"/>
      <c r="AA1" s="6"/>
      <c r="AB1" s="6"/>
      <c r="AC1" s="6"/>
      <c r="AD1" s="6"/>
      <c r="AE1" s="6"/>
      <c r="AF1" s="6"/>
      <c r="AG1" s="6"/>
      <c r="AH1" s="13" t="s">
        <v>76</v>
      </c>
      <c r="AI1" s="13"/>
      <c r="AJ1" s="13"/>
      <c r="AK1" s="13"/>
      <c r="AL1" s="13"/>
      <c r="AM1" s="13"/>
      <c r="AN1" s="13"/>
      <c r="AO1" s="14" t="s">
        <v>77</v>
      </c>
      <c r="AP1" s="14"/>
      <c r="AQ1" s="14"/>
      <c r="AR1" s="14"/>
      <c r="AS1" s="14"/>
      <c r="AT1" s="14"/>
      <c r="AU1" s="7"/>
      <c r="AV1" s="7"/>
      <c r="AW1" s="7"/>
      <c r="AX1" s="10"/>
    </row>
    <row r="2" spans="1:50" x14ac:dyDescent="0.25">
      <c r="D2" s="3" t="s">
        <v>33</v>
      </c>
      <c r="E2" s="3" t="s">
        <v>34</v>
      </c>
      <c r="F2" s="3" t="s">
        <v>35</v>
      </c>
      <c r="G2" s="3" t="s">
        <v>34</v>
      </c>
      <c r="H2" s="4" t="s">
        <v>43</v>
      </c>
      <c r="I2" s="4" t="s">
        <v>36</v>
      </c>
      <c r="J2" s="4" t="s">
        <v>40</v>
      </c>
      <c r="K2" s="4" t="s">
        <v>41</v>
      </c>
      <c r="L2" s="4" t="s">
        <v>42</v>
      </c>
      <c r="M2" s="5" t="s">
        <v>79</v>
      </c>
      <c r="N2" s="5" t="s">
        <v>43</v>
      </c>
      <c r="O2" s="5" t="s">
        <v>44</v>
      </c>
      <c r="P2" s="5" t="s">
        <v>100</v>
      </c>
      <c r="Q2" s="5" t="s">
        <v>45</v>
      </c>
      <c r="R2" s="5" t="s">
        <v>46</v>
      </c>
      <c r="S2" s="5" t="s">
        <v>47</v>
      </c>
      <c r="T2" s="5" t="s">
        <v>48</v>
      </c>
      <c r="U2" s="5" t="s">
        <v>49</v>
      </c>
      <c r="V2" s="5" t="s">
        <v>50</v>
      </c>
      <c r="W2" s="5" t="s">
        <v>51</v>
      </c>
      <c r="X2" s="5" t="s">
        <v>42</v>
      </c>
      <c r="Y2" s="5" t="s">
        <v>52</v>
      </c>
      <c r="Z2" s="6" t="s">
        <v>53</v>
      </c>
      <c r="AA2" s="6" t="s">
        <v>54</v>
      </c>
      <c r="AB2" s="6" t="s">
        <v>55</v>
      </c>
      <c r="AC2" s="6" t="s">
        <v>56</v>
      </c>
      <c r="AD2" s="6" t="s">
        <v>57</v>
      </c>
      <c r="AE2" s="6" t="s">
        <v>58</v>
      </c>
      <c r="AF2" s="6" t="s">
        <v>59</v>
      </c>
      <c r="AG2" s="6" t="s">
        <v>60</v>
      </c>
      <c r="AH2" s="9"/>
      <c r="AI2" s="9"/>
      <c r="AJ2" s="9"/>
      <c r="AK2" s="9"/>
      <c r="AL2" s="9"/>
      <c r="AM2" s="9"/>
      <c r="AN2" s="9"/>
      <c r="AO2" s="8"/>
      <c r="AP2" s="8"/>
      <c r="AQ2" s="8"/>
      <c r="AR2" s="8"/>
      <c r="AS2" s="8"/>
      <c r="AT2" s="8"/>
      <c r="AU2" s="8"/>
      <c r="AV2" s="8"/>
      <c r="AW2" s="8"/>
      <c r="AX2" s="10"/>
    </row>
    <row r="3" spans="1:50" x14ac:dyDescent="0.25">
      <c r="A3" t="s">
        <v>0</v>
      </c>
      <c r="B3" t="s">
        <v>1</v>
      </c>
      <c r="C3" t="s">
        <v>2</v>
      </c>
      <c r="D3" t="s">
        <v>3</v>
      </c>
      <c r="E3" t="s">
        <v>4</v>
      </c>
      <c r="F3" t="s">
        <v>5</v>
      </c>
      <c r="G3" t="s">
        <v>6</v>
      </c>
      <c r="H3" t="s">
        <v>7</v>
      </c>
      <c r="I3" t="s">
        <v>8</v>
      </c>
      <c r="J3" t="s">
        <v>9</v>
      </c>
      <c r="K3" t="s">
        <v>10</v>
      </c>
      <c r="L3" t="s">
        <v>11</v>
      </c>
      <c r="M3" t="s">
        <v>78</v>
      </c>
      <c r="N3" t="s">
        <v>12</v>
      </c>
      <c r="O3" t="s">
        <v>13</v>
      </c>
      <c r="P3" t="s">
        <v>99</v>
      </c>
      <c r="Q3" t="s">
        <v>14</v>
      </c>
      <c r="R3" t="s">
        <v>15</v>
      </c>
      <c r="S3" t="s">
        <v>16</v>
      </c>
      <c r="T3" t="s">
        <v>17</v>
      </c>
      <c r="U3" t="s">
        <v>18</v>
      </c>
      <c r="V3" t="s">
        <v>19</v>
      </c>
      <c r="W3" t="s">
        <v>20</v>
      </c>
      <c r="X3" t="s">
        <v>21</v>
      </c>
      <c r="Y3" t="s">
        <v>22</v>
      </c>
      <c r="Z3" t="s">
        <v>23</v>
      </c>
      <c r="AA3" t="s">
        <v>24</v>
      </c>
      <c r="AB3" t="s">
        <v>25</v>
      </c>
      <c r="AC3" t="s">
        <v>26</v>
      </c>
      <c r="AD3" t="s">
        <v>27</v>
      </c>
      <c r="AE3" t="s">
        <v>28</v>
      </c>
      <c r="AF3" t="s">
        <v>29</v>
      </c>
      <c r="AG3" t="s">
        <v>30</v>
      </c>
      <c r="AH3" t="s">
        <v>66</v>
      </c>
      <c r="AI3" t="s">
        <v>61</v>
      </c>
      <c r="AJ3" t="s">
        <v>62</v>
      </c>
      <c r="AK3" t="s">
        <v>63</v>
      </c>
      <c r="AL3" t="s">
        <v>64</v>
      </c>
      <c r="AM3" t="s">
        <v>65</v>
      </c>
      <c r="AN3" t="s">
        <v>73</v>
      </c>
      <c r="AO3" t="s">
        <v>67</v>
      </c>
      <c r="AP3" t="s">
        <v>68</v>
      </c>
      <c r="AQ3" t="s">
        <v>69</v>
      </c>
      <c r="AR3" t="s">
        <v>70</v>
      </c>
      <c r="AS3" t="s">
        <v>71</v>
      </c>
      <c r="AT3" t="s">
        <v>72</v>
      </c>
      <c r="AU3" t="s">
        <v>74</v>
      </c>
      <c r="AV3" t="s">
        <v>89</v>
      </c>
      <c r="AW3" t="s">
        <v>88</v>
      </c>
      <c r="AX3" t="s">
        <v>75</v>
      </c>
    </row>
    <row r="4" spans="1:50" x14ac:dyDescent="0.25">
      <c r="A4" t="s">
        <v>80</v>
      </c>
      <c r="B4" t="s">
        <v>81</v>
      </c>
      <c r="C4" t="s">
        <v>31</v>
      </c>
      <c r="D4">
        <v>4</v>
      </c>
      <c r="E4" t="s">
        <v>82</v>
      </c>
      <c r="F4">
        <v>3323</v>
      </c>
      <c r="G4" t="s">
        <v>83</v>
      </c>
      <c r="H4" t="s">
        <v>84</v>
      </c>
      <c r="I4">
        <v>0</v>
      </c>
      <c r="J4">
        <v>0</v>
      </c>
      <c r="K4">
        <v>1</v>
      </c>
      <c r="L4" t="s">
        <v>32</v>
      </c>
      <c r="M4" t="s">
        <v>85</v>
      </c>
      <c r="N4" t="s">
        <v>86</v>
      </c>
      <c r="O4">
        <v>0</v>
      </c>
      <c r="Q4">
        <v>0</v>
      </c>
      <c r="R4">
        <v>0</v>
      </c>
      <c r="S4">
        <v>0</v>
      </c>
      <c r="U4">
        <v>0</v>
      </c>
      <c r="V4" t="s">
        <v>32</v>
      </c>
      <c r="W4">
        <v>0</v>
      </c>
      <c r="X4">
        <v>2</v>
      </c>
      <c r="Y4">
        <v>0</v>
      </c>
      <c r="Z4">
        <v>1</v>
      </c>
      <c r="AA4">
        <v>0</v>
      </c>
      <c r="AB4">
        <v>2</v>
      </c>
      <c r="AC4">
        <v>5</v>
      </c>
      <c r="AD4" t="s">
        <v>32</v>
      </c>
      <c r="AE4">
        <v>0</v>
      </c>
      <c r="AF4">
        <v>0</v>
      </c>
      <c r="AG4" t="s">
        <v>87</v>
      </c>
      <c r="AH4">
        <f>getTotalCount(H4)</f>
        <v>2</v>
      </c>
      <c r="AI4">
        <f>getConeCount(H4)</f>
        <v>1</v>
      </c>
      <c r="AJ4">
        <f>getCubeCount(H4)</f>
        <v>1</v>
      </c>
      <c r="AK4">
        <f>getHighCount(H4)</f>
        <v>0</v>
      </c>
      <c r="AL4">
        <f>getMedCount(H4)</f>
        <v>2</v>
      </c>
      <c r="AM4">
        <f>getLowCount(H4)</f>
        <v>0</v>
      </c>
      <c r="AN4">
        <f>ScoutingData[[#This Row],[AutoLow]]*3+ScoutingData[[#This Row],[AutoMed]]*4+ScoutingData[[#This Row],[AutoHigh]]*6</f>
        <v>8</v>
      </c>
      <c r="AO4">
        <f>getTotalCount(N4)</f>
        <v>4</v>
      </c>
      <c r="AP4">
        <f>getConeCount(N4)</f>
        <v>2</v>
      </c>
      <c r="AQ4">
        <f>getCubeCount(N4)</f>
        <v>2</v>
      </c>
      <c r="AR4">
        <f>getHighCount(N4)</f>
        <v>4</v>
      </c>
      <c r="AS4">
        <f>getMedCount(N4)</f>
        <v>0</v>
      </c>
      <c r="AT4">
        <f>getLowCount(N4)</f>
        <v>0</v>
      </c>
      <c r="AU4">
        <f>ScoutingData[[#This Row],[TeleLow]]*2+ScoutingData[[#This Row],[TeleMed]]*3+ScoutingData[[#This Row],[TeleHigh]]*5</f>
        <v>20</v>
      </c>
      <c r="AV4">
        <f>getCycleCount(ScoutingData[[#This Row],[tct]])</f>
        <v>4</v>
      </c>
      <c r="AW4">
        <f>getAvgCycleTime(ScoutingData[[#This Row],[tct]])</f>
        <v>1.2749999999999999</v>
      </c>
      <c r="AX4">
        <f>ScoutingData[[#This Row],[Tele GP Score]]+ScoutingData[[#This Row],[Auto GP Score]]+IF(ISNUMBER(ScoutingData[[#This Row],[fs]]),ScoutingData[[#This Row],[fs]],0) +ScoutingData[[#This Row],[am]]*3</f>
        <v>33</v>
      </c>
    </row>
    <row r="5" spans="1:50" x14ac:dyDescent="0.25">
      <c r="A5" t="s">
        <v>90</v>
      </c>
      <c r="B5" t="s">
        <v>81</v>
      </c>
      <c r="C5" t="s">
        <v>31</v>
      </c>
      <c r="D5">
        <v>3</v>
      </c>
      <c r="E5" t="s">
        <v>91</v>
      </c>
      <c r="F5">
        <v>1234</v>
      </c>
      <c r="G5" t="s">
        <v>92</v>
      </c>
      <c r="H5" t="s">
        <v>93</v>
      </c>
      <c r="I5">
        <v>0</v>
      </c>
      <c r="J5">
        <v>0</v>
      </c>
      <c r="K5">
        <v>1</v>
      </c>
      <c r="L5" t="s">
        <v>32</v>
      </c>
      <c r="M5" t="s">
        <v>94</v>
      </c>
      <c r="N5" t="s">
        <v>95</v>
      </c>
      <c r="O5">
        <v>1</v>
      </c>
      <c r="Q5">
        <v>0</v>
      </c>
      <c r="R5">
        <v>0</v>
      </c>
      <c r="S5">
        <v>0</v>
      </c>
      <c r="U5">
        <v>0</v>
      </c>
      <c r="V5" t="s">
        <v>96</v>
      </c>
      <c r="W5">
        <v>1.9</v>
      </c>
      <c r="X5">
        <v>10</v>
      </c>
      <c r="Y5">
        <v>1</v>
      </c>
      <c r="Z5">
        <v>1</v>
      </c>
      <c r="AA5">
        <v>0</v>
      </c>
      <c r="AB5">
        <v>3</v>
      </c>
      <c r="AC5">
        <v>3</v>
      </c>
      <c r="AD5" t="s">
        <v>97</v>
      </c>
      <c r="AE5">
        <v>0</v>
      </c>
      <c r="AF5">
        <v>0</v>
      </c>
      <c r="AG5" t="s">
        <v>98</v>
      </c>
      <c r="AH5">
        <f>getTotalCount(H5)</f>
        <v>2</v>
      </c>
      <c r="AI5">
        <f>getConeCount(H5)</f>
        <v>0</v>
      </c>
      <c r="AJ5">
        <f>getCubeCount(H5)</f>
        <v>2</v>
      </c>
      <c r="AK5">
        <f>getHighCount(H5)</f>
        <v>1</v>
      </c>
      <c r="AL5">
        <f>getMedCount(H5)</f>
        <v>1</v>
      </c>
      <c r="AM5">
        <f>getLowCount(H5)</f>
        <v>0</v>
      </c>
      <c r="AN5">
        <f>ScoutingData[[#This Row],[AutoLow]]*3+ScoutingData[[#This Row],[AutoMed]]*4+ScoutingData[[#This Row],[AutoHigh]]*6</f>
        <v>10</v>
      </c>
      <c r="AO5">
        <f>getTotalCount(N5)</f>
        <v>3</v>
      </c>
      <c r="AP5">
        <f>getConeCount(N5)</f>
        <v>2</v>
      </c>
      <c r="AQ5">
        <f>getCubeCount(N5)</f>
        <v>1</v>
      </c>
      <c r="AR5">
        <f>getHighCount(N5)</f>
        <v>3</v>
      </c>
      <c r="AS5">
        <f>getMedCount(N5)</f>
        <v>0</v>
      </c>
      <c r="AT5">
        <f>getLowCount(N5)</f>
        <v>0</v>
      </c>
      <c r="AU5">
        <f>ScoutingData[[#This Row],[TeleLow]]*2+ScoutingData[[#This Row],[TeleMed]]*3+ScoutingData[[#This Row],[TeleHigh]]*5</f>
        <v>15</v>
      </c>
      <c r="AV5">
        <f>getCycleCount(ScoutingData[[#This Row],[tct]])</f>
        <v>3</v>
      </c>
      <c r="AW5">
        <f>getAvgCycleTime(ScoutingData[[#This Row],[tct]])</f>
        <v>4.4333333333333327</v>
      </c>
      <c r="AX5">
        <f>ScoutingData[[#This Row],[Tele GP Score]]+ScoutingData[[#This Row],[Auto GP Score]]+IF(ISNUMBER(ScoutingData[[#This Row],[fs]]),ScoutingData[[#This Row],[fs]],0) +ScoutingData[[#This Row],[am]]*3</f>
        <v>38</v>
      </c>
    </row>
  </sheetData>
  <mergeCells count="5">
    <mergeCell ref="D1:G1"/>
    <mergeCell ref="H1:L1"/>
    <mergeCell ref="AH1:AN1"/>
    <mergeCell ref="AO1:AT1"/>
    <mergeCell ref="M1:Y1"/>
  </mergeCells>
  <phoneticPr fontId="3" type="noConversion"/>
  <pageMargins left="0.7" right="0.7" top="0.75" bottom="0.75" header="0.3" footer="0.3"/>
  <tableParts count="1">
    <tablePart r:id="rId1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FD9130C-8A86-4E48-AB15-BA04F4451F0C}">
  <sheetPr codeName="LocationMap"/>
  <dimension ref="B1:M12"/>
  <sheetViews>
    <sheetView zoomScaleNormal="100" workbookViewId="0">
      <selection activeCell="Q13" sqref="Q13"/>
    </sheetView>
  </sheetViews>
  <sheetFormatPr defaultRowHeight="15" x14ac:dyDescent="0.25"/>
  <cols>
    <col min="2" max="13" width="6.85546875" customWidth="1"/>
  </cols>
  <sheetData>
    <row r="1" spans="2:13" ht="30" customHeight="1" x14ac:dyDescent="0.25"/>
    <row r="2" spans="2:13" ht="40.15" customHeight="1" x14ac:dyDescent="0.25">
      <c r="B2" s="1">
        <v>1</v>
      </c>
      <c r="C2" s="1">
        <v>2</v>
      </c>
      <c r="D2" s="1">
        <v>3</v>
      </c>
      <c r="E2" s="1">
        <v>4</v>
      </c>
      <c r="F2" s="1">
        <v>5</v>
      </c>
      <c r="G2" s="1">
        <v>6</v>
      </c>
      <c r="H2" s="1">
        <v>7</v>
      </c>
      <c r="I2" s="1">
        <v>8</v>
      </c>
      <c r="J2" s="1">
        <v>9</v>
      </c>
      <c r="K2" s="1">
        <v>10</v>
      </c>
      <c r="L2" s="1">
        <v>11</v>
      </c>
      <c r="M2" s="1">
        <v>12</v>
      </c>
    </row>
    <row r="3" spans="2:13" ht="40.15" customHeight="1" x14ac:dyDescent="0.25">
      <c r="B3" s="1">
        <v>13</v>
      </c>
      <c r="C3" s="1">
        <v>14</v>
      </c>
      <c r="D3" s="1">
        <v>15</v>
      </c>
      <c r="E3" s="1">
        <v>16</v>
      </c>
      <c r="F3" s="1">
        <v>17</v>
      </c>
      <c r="G3" s="1">
        <v>18</v>
      </c>
      <c r="H3" s="1">
        <v>19</v>
      </c>
      <c r="I3" s="1">
        <v>20</v>
      </c>
      <c r="J3" s="1">
        <v>21</v>
      </c>
      <c r="K3" s="1">
        <v>22</v>
      </c>
      <c r="L3" s="1">
        <v>23</v>
      </c>
      <c r="M3" s="1">
        <v>24</v>
      </c>
    </row>
    <row r="4" spans="2:13" ht="40.15" customHeight="1" x14ac:dyDescent="0.25">
      <c r="B4" s="1">
        <v>25</v>
      </c>
      <c r="C4" s="1">
        <v>26</v>
      </c>
      <c r="D4" s="1">
        <v>27</v>
      </c>
      <c r="E4" s="1">
        <v>28</v>
      </c>
      <c r="F4" s="1">
        <v>29</v>
      </c>
      <c r="G4" s="1">
        <v>30</v>
      </c>
      <c r="H4" s="1">
        <v>31</v>
      </c>
      <c r="I4" s="1">
        <v>32</v>
      </c>
      <c r="J4" s="1">
        <v>33</v>
      </c>
      <c r="K4" s="1">
        <v>34</v>
      </c>
      <c r="L4" s="1">
        <v>35</v>
      </c>
      <c r="M4" s="1">
        <v>36</v>
      </c>
    </row>
    <row r="5" spans="2:13" ht="40.15" customHeight="1" x14ac:dyDescent="0.25">
      <c r="B5" s="1">
        <v>37</v>
      </c>
      <c r="C5" s="1">
        <v>38</v>
      </c>
      <c r="D5" s="1">
        <v>39</v>
      </c>
      <c r="E5" s="1">
        <v>40</v>
      </c>
      <c r="F5" s="1">
        <v>41</v>
      </c>
      <c r="G5" s="1">
        <v>42</v>
      </c>
      <c r="H5" s="1">
        <v>43</v>
      </c>
      <c r="I5" s="1">
        <v>44</v>
      </c>
      <c r="J5" s="1">
        <v>45</v>
      </c>
      <c r="K5" s="1">
        <v>46</v>
      </c>
      <c r="L5" s="1">
        <v>47</v>
      </c>
      <c r="M5" s="1">
        <v>48</v>
      </c>
    </row>
    <row r="6" spans="2:13" ht="40.15" customHeight="1" x14ac:dyDescent="0.25">
      <c r="B6" s="1">
        <v>49</v>
      </c>
      <c r="C6" s="1">
        <v>50</v>
      </c>
      <c r="D6" s="1">
        <v>51</v>
      </c>
      <c r="E6" s="1">
        <v>52</v>
      </c>
      <c r="F6" s="1">
        <v>53</v>
      </c>
      <c r="G6" s="1">
        <v>54</v>
      </c>
      <c r="H6" s="1">
        <v>55</v>
      </c>
      <c r="I6" s="1">
        <v>56</v>
      </c>
      <c r="J6" s="1">
        <v>57</v>
      </c>
      <c r="K6" s="1">
        <v>58</v>
      </c>
      <c r="L6" s="1">
        <v>59</v>
      </c>
      <c r="M6" s="1">
        <v>60</v>
      </c>
    </row>
    <row r="7" spans="2:13" ht="40.15" customHeight="1" x14ac:dyDescent="0.25">
      <c r="B7" s="1">
        <v>61</v>
      </c>
      <c r="C7" s="1">
        <v>62</v>
      </c>
      <c r="D7" s="1">
        <v>63</v>
      </c>
      <c r="E7" s="1">
        <v>64</v>
      </c>
      <c r="F7" s="1">
        <v>65</v>
      </c>
      <c r="G7" s="1">
        <v>66</v>
      </c>
      <c r="H7" s="1">
        <v>67</v>
      </c>
      <c r="I7" s="1">
        <v>68</v>
      </c>
      <c r="J7" s="1">
        <v>69</v>
      </c>
      <c r="K7" s="1">
        <v>70</v>
      </c>
      <c r="L7" s="1">
        <v>71</v>
      </c>
      <c r="M7" s="1">
        <v>72</v>
      </c>
    </row>
    <row r="11" spans="2:13" x14ac:dyDescent="0.25">
      <c r="D11" s="2"/>
    </row>
    <row r="12" spans="2:13" x14ac:dyDescent="0.25">
      <c r="D12" s="2"/>
    </row>
  </sheetData>
  <pageMargins left="0.7" right="0.7" top="0.75" bottom="0.75" header="0.3" footer="0.3"/>
  <pageSetup orientation="portrait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3</vt:i4>
      </vt:variant>
      <vt:variant>
        <vt:lpstr>Named Ranges</vt:lpstr>
      </vt:variant>
      <vt:variant>
        <vt:i4>73</vt:i4>
      </vt:variant>
    </vt:vector>
  </HeadingPairs>
  <TitlesOfParts>
    <vt:vector size="76" baseType="lpstr">
      <vt:lpstr>Control</vt:lpstr>
      <vt:lpstr>ScoutingData</vt:lpstr>
      <vt:lpstr>Image Maps</vt:lpstr>
      <vt:lpstr>'Image Maps'!HM_1</vt:lpstr>
      <vt:lpstr>'Image Maps'!HM_10</vt:lpstr>
      <vt:lpstr>'Image Maps'!HM_11</vt:lpstr>
      <vt:lpstr>'Image Maps'!HM_12</vt:lpstr>
      <vt:lpstr>'Image Maps'!HM_13</vt:lpstr>
      <vt:lpstr>'Image Maps'!HM_14</vt:lpstr>
      <vt:lpstr>'Image Maps'!HM_15</vt:lpstr>
      <vt:lpstr>'Image Maps'!HM_16</vt:lpstr>
      <vt:lpstr>'Image Maps'!HM_17</vt:lpstr>
      <vt:lpstr>'Image Maps'!HM_18</vt:lpstr>
      <vt:lpstr>'Image Maps'!HM_19</vt:lpstr>
      <vt:lpstr>'Image Maps'!HM_2</vt:lpstr>
      <vt:lpstr>'Image Maps'!HM_20</vt:lpstr>
      <vt:lpstr>'Image Maps'!HM_21</vt:lpstr>
      <vt:lpstr>'Image Maps'!HM_22</vt:lpstr>
      <vt:lpstr>'Image Maps'!HM_23</vt:lpstr>
      <vt:lpstr>'Image Maps'!HM_24</vt:lpstr>
      <vt:lpstr>'Image Maps'!HM_25</vt:lpstr>
      <vt:lpstr>'Image Maps'!HM_26</vt:lpstr>
      <vt:lpstr>'Image Maps'!HM_27</vt:lpstr>
      <vt:lpstr>'Image Maps'!HM_28</vt:lpstr>
      <vt:lpstr>'Image Maps'!HM_29</vt:lpstr>
      <vt:lpstr>'Image Maps'!HM_3</vt:lpstr>
      <vt:lpstr>'Image Maps'!HM_30</vt:lpstr>
      <vt:lpstr>'Image Maps'!HM_31</vt:lpstr>
      <vt:lpstr>'Image Maps'!HM_32</vt:lpstr>
      <vt:lpstr>'Image Maps'!HM_33</vt:lpstr>
      <vt:lpstr>'Image Maps'!HM_34</vt:lpstr>
      <vt:lpstr>'Image Maps'!HM_35</vt:lpstr>
      <vt:lpstr>'Image Maps'!HM_36</vt:lpstr>
      <vt:lpstr>'Image Maps'!HM_37</vt:lpstr>
      <vt:lpstr>'Image Maps'!HM_38</vt:lpstr>
      <vt:lpstr>'Image Maps'!HM_39</vt:lpstr>
      <vt:lpstr>'Image Maps'!HM_4</vt:lpstr>
      <vt:lpstr>'Image Maps'!HM_40</vt:lpstr>
      <vt:lpstr>'Image Maps'!HM_41</vt:lpstr>
      <vt:lpstr>'Image Maps'!HM_42</vt:lpstr>
      <vt:lpstr>'Image Maps'!HM_43</vt:lpstr>
      <vt:lpstr>'Image Maps'!HM_44</vt:lpstr>
      <vt:lpstr>'Image Maps'!HM_45</vt:lpstr>
      <vt:lpstr>'Image Maps'!HM_46</vt:lpstr>
      <vt:lpstr>'Image Maps'!HM_47</vt:lpstr>
      <vt:lpstr>'Image Maps'!HM_48</vt:lpstr>
      <vt:lpstr>'Image Maps'!HM_49</vt:lpstr>
      <vt:lpstr>'Image Maps'!HM_5</vt:lpstr>
      <vt:lpstr>'Image Maps'!HM_50</vt:lpstr>
      <vt:lpstr>'Image Maps'!HM_51</vt:lpstr>
      <vt:lpstr>'Image Maps'!HM_52</vt:lpstr>
      <vt:lpstr>'Image Maps'!HM_53</vt:lpstr>
      <vt:lpstr>'Image Maps'!HM_54</vt:lpstr>
      <vt:lpstr>'Image Maps'!HM_55</vt:lpstr>
      <vt:lpstr>'Image Maps'!HM_56</vt:lpstr>
      <vt:lpstr>'Image Maps'!HM_57</vt:lpstr>
      <vt:lpstr>'Image Maps'!HM_58</vt:lpstr>
      <vt:lpstr>'Image Maps'!HM_59</vt:lpstr>
      <vt:lpstr>'Image Maps'!HM_6</vt:lpstr>
      <vt:lpstr>'Image Maps'!HM_60</vt:lpstr>
      <vt:lpstr>'Image Maps'!HM_61</vt:lpstr>
      <vt:lpstr>'Image Maps'!HM_62</vt:lpstr>
      <vt:lpstr>'Image Maps'!HM_63</vt:lpstr>
      <vt:lpstr>'Image Maps'!HM_64</vt:lpstr>
      <vt:lpstr>'Image Maps'!HM_65</vt:lpstr>
      <vt:lpstr>'Image Maps'!HM_66</vt:lpstr>
      <vt:lpstr>'Image Maps'!HM_67</vt:lpstr>
      <vt:lpstr>'Image Maps'!HM_68</vt:lpstr>
      <vt:lpstr>'Image Maps'!HM_69</vt:lpstr>
      <vt:lpstr>'Image Maps'!HM_7</vt:lpstr>
      <vt:lpstr>'Image Maps'!HM_70</vt:lpstr>
      <vt:lpstr>'Image Maps'!HM_71</vt:lpstr>
      <vt:lpstr>'Image Maps'!HM_72</vt:lpstr>
      <vt:lpstr>'Image Maps'!HM_8</vt:lpstr>
      <vt:lpstr>'Image Maps'!HM_9</vt:lpstr>
      <vt:lpstr>'Image Maps'!Print_Area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Solid_Works3</dc:creator>
  <cp:lastModifiedBy>Chris B</cp:lastModifiedBy>
  <dcterms:created xsi:type="dcterms:W3CDTF">2022-01-08T05:41:38Z</dcterms:created>
  <dcterms:modified xsi:type="dcterms:W3CDTF">2023-04-13T14:52:38Z</dcterms:modified>
</cp:coreProperties>
</file>