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ScoutingPASS\Excel\"/>
    </mc:Choice>
  </mc:AlternateContent>
  <xr:revisionPtr revIDLastSave="0" documentId="13_ncr:1_{B1A572FE-C795-403D-857B-D708C180CBEA}" xr6:coauthVersionLast="47" xr6:coauthVersionMax="47" xr10:uidLastSave="{00000000-0000-0000-0000-000000000000}"/>
  <bookViews>
    <workbookView xWindow="390" yWindow="390" windowWidth="21600" windowHeight="11385" activeTab="1" xr2:uid="{69B330E3-955F-46F7-8CA4-E99CE26A5CBD}"/>
  </bookViews>
  <sheets>
    <sheet name="Control" sheetId="1" r:id="rId1"/>
    <sheet name="ScoutingData" sheetId="2" r:id="rId2"/>
    <sheet name="Image Maps" sheetId="4" r:id="rId3"/>
  </sheets>
  <functionGroups builtInGroupCount="19"/>
  <externalReferences>
    <externalReference r:id="rId4"/>
  </externalReferences>
  <definedNames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'[1]Match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" i="2" l="1"/>
  <c r="AS5" i="2"/>
  <c r="AN4" i="2"/>
  <c r="AG4" i="2"/>
  <c r="AU5" i="2"/>
  <c r="AH4" i="2"/>
  <c r="AV5" i="2"/>
  <c r="AI4" i="2"/>
  <c r="AJ4" i="2"/>
  <c r="AU4" i="2"/>
  <c r="AK4" i="2"/>
  <c r="AV4" i="2"/>
  <c r="AL4" i="2"/>
  <c r="AS4" i="2"/>
  <c r="AR4" i="2"/>
  <c r="AQ4" i="2"/>
  <c r="AP4" i="2"/>
  <c r="AO4" i="2"/>
  <c r="AH5" i="2"/>
  <c r="AI5" i="2"/>
  <c r="AJ5" i="2"/>
  <c r="AK5" i="2"/>
  <c r="AL5" i="2"/>
  <c r="AN5" i="2"/>
  <c r="AO5" i="2"/>
  <c r="AP5" i="2"/>
  <c r="AQ5" i="2"/>
  <c r="AR5" i="2"/>
  <c r="AM5" i="2" l="1"/>
  <c r="AT4" i="2"/>
  <c r="AW4" i="2" s="1"/>
  <c r="AM4" i="2"/>
  <c r="AT5" i="2"/>
  <c r="AW5" i="2" l="1"/>
</calcChain>
</file>

<file path=xl/sharedStrings.xml><?xml version="1.0" encoding="utf-8"?>
<sst xmlns="http://schemas.openxmlformats.org/spreadsheetml/2006/main" count="107" uniqueCount="99">
  <si>
    <t>scouter</t>
  </si>
  <si>
    <t>eventCode</t>
  </si>
  <si>
    <t>matchLevel</t>
  </si>
  <si>
    <t>matchNumber</t>
  </si>
  <si>
    <t>robot</t>
  </si>
  <si>
    <t>teamNumber</t>
  </si>
  <si>
    <t>as</t>
  </si>
  <si>
    <t>asg</t>
  </si>
  <si>
    <t>acc</t>
  </si>
  <si>
    <t>acs</t>
  </si>
  <si>
    <t>am</t>
  </si>
  <si>
    <t>ad</t>
  </si>
  <si>
    <t>tsg</t>
  </si>
  <si>
    <t>tdg</t>
  </si>
  <si>
    <t>tfc</t>
  </si>
  <si>
    <t>wf</t>
  </si>
  <si>
    <t>wd</t>
  </si>
  <si>
    <t>who</t>
  </si>
  <si>
    <t>lnk</t>
  </si>
  <si>
    <t>fpu</t>
  </si>
  <si>
    <t>dt</t>
  </si>
  <si>
    <t>fs</t>
  </si>
  <si>
    <t>dn</t>
  </si>
  <si>
    <t>ds</t>
  </si>
  <si>
    <t>ls</t>
  </si>
  <si>
    <t>dr</t>
  </si>
  <si>
    <t>sr</t>
  </si>
  <si>
    <t>pps</t>
  </si>
  <si>
    <t>die</t>
  </si>
  <si>
    <t>tip</t>
  </si>
  <si>
    <t>co</t>
  </si>
  <si>
    <t>qm</t>
  </si>
  <si>
    <t>x</t>
  </si>
  <si>
    <t>Match #</t>
  </si>
  <si>
    <t>Start Pos</t>
  </si>
  <si>
    <t>Team #</t>
  </si>
  <si>
    <t>Crossed Cable</t>
  </si>
  <si>
    <t>Pre-Match</t>
  </si>
  <si>
    <t>Auto</t>
  </si>
  <si>
    <t>Teleop</t>
  </si>
  <si>
    <t>Cross Charge Station</t>
  </si>
  <si>
    <t>Mobility?</t>
  </si>
  <si>
    <t>Engaged? (Points)</t>
  </si>
  <si>
    <t>Grid Score</t>
  </si>
  <si>
    <t>Dropped Cnt</t>
  </si>
  <si>
    <t>Feeder Cnt</t>
  </si>
  <si>
    <t>Was Fed?</t>
  </si>
  <si>
    <t>Was Defended?</t>
  </si>
  <si>
    <t>Who Defended?</t>
  </si>
  <si>
    <t>Smart Grid Placement?</t>
  </si>
  <si>
    <t>Floor Pickup?</t>
  </si>
  <si>
    <t>Dock Timer</t>
  </si>
  <si>
    <t># Engaged</t>
  </si>
  <si>
    <t>Driver Skill</t>
  </si>
  <si>
    <t>Links Contributed to</t>
  </si>
  <si>
    <t>Defense Rating</t>
  </si>
  <si>
    <t>Speed Rating</t>
  </si>
  <si>
    <t>Preferred Pickup Strat</t>
  </si>
  <si>
    <t>Dies?</t>
  </si>
  <si>
    <t>Tippy?</t>
  </si>
  <si>
    <t>Comments?</t>
  </si>
  <si>
    <t>Auto Cones</t>
  </si>
  <si>
    <t>AutoCubes</t>
  </si>
  <si>
    <t>AutoHigh</t>
  </si>
  <si>
    <t>AutoMed</t>
  </si>
  <si>
    <t>AutoLow</t>
  </si>
  <si>
    <t>Auto Game Pieces Scored</t>
  </si>
  <si>
    <t>Tele Game Pieces Scored</t>
  </si>
  <si>
    <t>Tele Cones</t>
  </si>
  <si>
    <t>Tele Cubes</t>
  </si>
  <si>
    <t>TeleHigh</t>
  </si>
  <si>
    <t>TeleMed</t>
  </si>
  <si>
    <t>TeleLow</t>
  </si>
  <si>
    <t>Auto GP Score</t>
  </si>
  <si>
    <t>Tele GP Score</t>
  </si>
  <si>
    <t>Overall Score Contribution (No Auto Engage)</t>
  </si>
  <si>
    <t>Auto Scoring Totals</t>
  </si>
  <si>
    <t>Teleop Scoring Totals</t>
  </si>
  <si>
    <t>tct</t>
  </si>
  <si>
    <t>Cycle Timer</t>
  </si>
  <si>
    <t>asdfasd</t>
  </si>
  <si>
    <t>2023onwat</t>
  </si>
  <si>
    <t>b2</t>
  </si>
  <si>
    <t>[39]</t>
  </si>
  <si>
    <t>[13,14]</t>
  </si>
  <si>
    <t>[0.5,0.6,0.5,3.5]</t>
  </si>
  <si>
    <t>[3,4,8,2]</t>
  </si>
  <si>
    <t>fdgsdfg sdfgsdfg</t>
  </si>
  <si>
    <t>Avg Cycle Time</t>
  </si>
  <si>
    <t>Num Cycles</t>
  </si>
  <si>
    <t>asdasda</t>
  </si>
  <si>
    <t>r2</t>
  </si>
  <si>
    <t>[35]</t>
  </si>
  <si>
    <t>[14,2]</t>
  </si>
  <si>
    <t>[5.2,3.5,4.6]</t>
  </si>
  <si>
    <t>[4,5,6]</t>
  </si>
  <si>
    <t>o</t>
  </si>
  <si>
    <t>dls</t>
  </si>
  <si>
    <t>sadasd asdASFDJALKSDJFA SDsdalkfj asdlkj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</si>
</sst>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FAFFF"/>
        <bgColor indexed="64"/>
      </patternFill>
    </fill>
    <fill>
      <patternFill patternType="solid">
        <fgColor rgb="FFB5F9F7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0" fillId="0" borderId="1" xfId="0" applyBorder="1"/>
    <xf numFmtId="0" fontId="4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5F9F7"/>
      <color rgb="FFDFA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133350</xdr:rowOff>
        </xdr:from>
        <xdr:to>
          <xdr:col>4</xdr:col>
          <xdr:colOff>114300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6</xdr:row>
          <xdr:rowOff>57150</xdr:rowOff>
        </xdr:from>
        <xdr:to>
          <xdr:col>4</xdr:col>
          <xdr:colOff>104775</xdr:colOff>
          <xdr:row>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35</xdr:row>
          <xdr:rowOff>85725</xdr:rowOff>
        </xdr:from>
        <xdr:to>
          <xdr:col>3</xdr:col>
          <xdr:colOff>552450</xdr:colOff>
          <xdr:row>37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Don’t Use - Test SaveData()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65760"/>
          <a:ext cx="5501640" cy="306043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577591"/>
          <a:ext cx="5542828" cy="24612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ris\Documents\GitHub\ScoutingPASS\Excel\2023%20Excel%20Skeleton.xlsm" TargetMode="External"/><Relationship Id="rId1" Type="http://schemas.openxmlformats.org/officeDocument/2006/relationships/externalLinkPath" Target="2023%20Excel%20Skelet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Image Maps"/>
      <sheetName val="Match Scouting Data"/>
      <sheetName val="Pit Scouting Data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DCD403-9141-43AC-8253-2278F68D444C}" name="ScoutingData" displayName="ScoutingData" ref="A3:AW5" totalsRowShown="0">
  <autoFilter ref="A3:AW5" xr:uid="{BADCD403-9141-43AC-8253-2278F68D444C}"/>
  <tableColumns count="49">
    <tableColumn id="1" xr3:uid="{7C954142-AD20-4470-AC70-E6BB9236B695}" name="scouter"/>
    <tableColumn id="2" xr3:uid="{9BDFD5C1-95DA-4CB1-8E77-9F521C798300}" name="eventCode"/>
    <tableColumn id="3" xr3:uid="{9F8EDD83-70D7-4D03-AA3A-39BB9C176E36}" name="matchLevel"/>
    <tableColumn id="4" xr3:uid="{6E2493F2-6140-4D0B-A8B7-C35879765D1C}" name="matchNumber"/>
    <tableColumn id="5" xr3:uid="{83B37990-5C5F-481E-B363-6FF1813DDEC9}" name="robot"/>
    <tableColumn id="6" xr3:uid="{9342EE44-29F7-4C3B-BCA5-CB0B78AE1589}" name="teamNumber"/>
    <tableColumn id="7" xr3:uid="{D4F353DF-D6E2-4E38-A1A7-38A82489F298}" name="as"/>
    <tableColumn id="8" xr3:uid="{55A1074A-1524-47BE-913E-D13BF9CC93A4}" name="asg"/>
    <tableColumn id="9" xr3:uid="{67D1FDED-420E-48A8-B63C-D160FA84CF5B}" name="acc"/>
    <tableColumn id="10" xr3:uid="{58739C32-8B24-47A0-883D-377F0C73169B}" name="acs"/>
    <tableColumn id="11" xr3:uid="{68A27CB1-B907-493D-B997-8158E098710A}" name="am"/>
    <tableColumn id="12" xr3:uid="{ED2BCDD8-A055-4CA6-98C4-61C6C2F7C7A3}" name="ad"/>
    <tableColumn id="13" xr3:uid="{24279EA9-2217-4497-B188-BC970193B8FC}" name="tct"/>
    <tableColumn id="49" xr3:uid="{99B35DC3-9362-4C67-8454-38CDEE69A9DC}" name="tsg"/>
    <tableColumn id="14" xr3:uid="{1B6E4E9A-2E4A-481C-81A6-D09B06501C3C}" name="tdg"/>
    <tableColumn id="15" xr3:uid="{A005A58D-533D-47FA-98FC-513A83895AD5}" name="tfc"/>
    <tableColumn id="16" xr3:uid="{97F08CAF-776B-4F7F-9D4D-0382D601F0D8}" name="wf"/>
    <tableColumn id="17" xr3:uid="{A1566EDE-3B00-45AA-B934-AE885BDA469F}" name="wd"/>
    <tableColumn id="18" xr3:uid="{22F7FDF0-2122-465F-8E51-FB674578462A}" name="who"/>
    <tableColumn id="19" xr3:uid="{6A401991-A4C0-40E4-A65E-076FD47C58D8}" name="lnk"/>
    <tableColumn id="20" xr3:uid="{81FE5A4F-60AA-41C9-8C2F-96C8E9B0F983}" name="fpu"/>
    <tableColumn id="21" xr3:uid="{55D79FB8-61B5-4161-B453-D3452DE2443D}" name="dt"/>
    <tableColumn id="22" xr3:uid="{B4517D1F-6EE6-4D75-A07E-2D7E54ACF96E}" name="fs"/>
    <tableColumn id="23" xr3:uid="{2CEDA015-687D-47C0-8CB7-29109B2C139B}" name="dn"/>
    <tableColumn id="24" xr3:uid="{7B7AFFEB-E8B9-47DD-AFDC-5EE17BBCEA8D}" name="ds"/>
    <tableColumn id="25" xr3:uid="{A99AA631-6358-4343-BDF5-6ED3A395D7A0}" name="ls"/>
    <tableColumn id="26" xr3:uid="{44FE1D93-6CB7-4851-A099-AAC8948F2020}" name="dr"/>
    <tableColumn id="27" xr3:uid="{6A01D776-0C05-47E6-9881-FE4443E7E28D}" name="sr"/>
    <tableColumn id="28" xr3:uid="{8E29CACA-31BC-403C-B22C-4694535E0568}" name="pps"/>
    <tableColumn id="29" xr3:uid="{18076256-C802-40FA-894D-D2D3FB85C588}" name="die"/>
    <tableColumn id="30" xr3:uid="{F8FB314F-46B9-481A-A866-86C82AFFC32F}" name="tip"/>
    <tableColumn id="31" xr3:uid="{FFE58B48-1ABF-48A1-8B04-C43DF17DE85A}" name="co"/>
    <tableColumn id="32" xr3:uid="{BB80D124-795E-47E6-A656-6DB73C92FAB9}" name="Auto Game Pieces Scored" dataDxfId="16">
      <calculatedColumnFormula>getTotalCount(H4)</calculatedColumnFormula>
    </tableColumn>
    <tableColumn id="33" xr3:uid="{7619F533-2882-4C5F-8BE8-828E6D1647C0}" name="Auto Cones" dataDxfId="15">
      <calculatedColumnFormula>getConeCount(H4)</calculatedColumnFormula>
    </tableColumn>
    <tableColumn id="34" xr3:uid="{74FB8C56-2FAD-4E0F-AE25-81081F1432E1}" name="AutoCubes" dataDxfId="14">
      <calculatedColumnFormula>getCubeCount(H4)</calculatedColumnFormula>
    </tableColumn>
    <tableColumn id="35" xr3:uid="{20548F5A-138B-4134-BE06-BAC239CCD6C4}" name="AutoHigh" dataDxfId="13">
      <calculatedColumnFormula>getHighCount(H4)</calculatedColumnFormula>
    </tableColumn>
    <tableColumn id="36" xr3:uid="{748842F9-C337-4170-BF4C-6C1A5425B207}" name="AutoMed" dataDxfId="12">
      <calculatedColumnFormula>getMedCount(H4)</calculatedColumnFormula>
    </tableColumn>
    <tableColumn id="37" xr3:uid="{4A21FC24-7821-4335-B04C-6DAA78920D5A}" name="AutoLow" dataDxfId="11">
      <calculatedColumnFormula>getLowCount(H4)</calculatedColumnFormula>
    </tableColumn>
    <tableColumn id="45" xr3:uid="{737B88DF-CA02-486D-981B-B79D1C47BC80}" name="Auto GP Score" dataDxfId="10">
      <calculatedColumnFormula>ScoutingData[[#This Row],[AutoLow]]*3+ScoutingData[[#This Row],[AutoMed]]*4+ScoutingData[[#This Row],[AutoHigh]]*6</calculatedColumnFormula>
    </tableColumn>
    <tableColumn id="38" xr3:uid="{46A76049-38D1-40F8-86F6-F80F5367EB5B}" name="Tele Game Pieces Scored" dataDxfId="9">
      <calculatedColumnFormula>getTotalCount(N4)</calculatedColumnFormula>
    </tableColumn>
    <tableColumn id="43" xr3:uid="{E9B02C9F-74E5-4868-9363-0CCED4D6A181}" name="Tele Cones" dataDxfId="8">
      <calculatedColumnFormula>getConeCount(N4)</calculatedColumnFormula>
    </tableColumn>
    <tableColumn id="42" xr3:uid="{71A3B9FD-74CC-4600-8084-CA65C261B738}" name="Tele Cubes" dataDxfId="7">
      <calculatedColumnFormula>getCubeCount(N4)</calculatedColumnFormula>
    </tableColumn>
    <tableColumn id="39" xr3:uid="{66DA0E29-B290-4280-A59C-51886B3C9D6D}" name="TeleHigh" dataDxfId="6">
      <calculatedColumnFormula>getHighCount(N4)</calculatedColumnFormula>
    </tableColumn>
    <tableColumn id="40" xr3:uid="{B21BA9D8-5BD6-4760-B49A-6884EA6E3A61}" name="TeleMed" dataDxfId="5">
      <calculatedColumnFormula>getMedCount(N4)</calculatedColumnFormula>
    </tableColumn>
    <tableColumn id="44" xr3:uid="{AD1870DA-1916-4466-AB8A-F1A260EBAA89}" name="TeleLow" dataDxfId="4">
      <calculatedColumnFormula>getLowCount(N4)</calculatedColumnFormula>
    </tableColumn>
    <tableColumn id="46" xr3:uid="{463BBC93-D60D-44A5-B124-DA6590DA07F6}" name="Tele GP Score" dataDxfId="3">
      <calculatedColumnFormula>ScoutingData[[#This Row],[TeleLow]]*2+ScoutingData[[#This Row],[TeleMed]]*3+ScoutingData[[#This Row],[TeleHigh]]*5</calculatedColumnFormula>
    </tableColumn>
    <tableColumn id="50" xr3:uid="{9D0EBBEE-0766-4271-8A2D-0864A28F6244}" name="Num Cycles" dataDxfId="2">
      <calculatedColumnFormula>getCycleCount(ScoutingData[[#This Row],[tct]])</calculatedColumnFormula>
    </tableColumn>
    <tableColumn id="48" xr3:uid="{C2CE3B4B-A999-464B-8B60-D8BA0B5FD268}" name="Avg Cycle Time" dataDxfId="1">
      <calculatedColumnFormula>getAvgCycleTime(ScoutingData[[#This Row],[tct]])</calculatedColumnFormula>
    </tableColumn>
    <tableColumn id="41" xr3:uid="{78649415-E47B-47FD-9395-9F7E5FB5C562}" name="Overall Score Contribution (No Auto Engage)" dataDxfId="0">
      <calculatedColumnFormula>ScoutingData[[#This Row],[Tele GP Score]]+ScoutingData[[#This Row],[Auto GP Score]]+IF(ISNUMBER(ScoutingData[[#This Row],[fs]]),ScoutingData[[#This Row],[fs]],0) +ScoutingData[[#This Row],[am]]*3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"/>
  <sheetViews>
    <sheetView workbookViewId="0">
      <selection activeCell="C22" sqref="C22"/>
    </sheetView>
  </sheetViews>
  <sheetFormatPr defaultRowHeight="15" x14ac:dyDescent="0.25"/>
  <cols>
    <col min="1" max="9" width="10.42578125" customWidth="1"/>
    <col min="10" max="41" width="11.425781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1</xdr:col>
                    <xdr:colOff>123825</xdr:colOff>
                    <xdr:row>2</xdr:row>
                    <xdr:rowOff>133350</xdr:rowOff>
                  </from>
                  <to>
                    <xdr:col>4</xdr:col>
                    <xdr:colOff>114300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6</xdr:row>
                    <xdr:rowOff>57150</xdr:rowOff>
                  </from>
                  <to>
                    <xdr:col>4</xdr:col>
                    <xdr:colOff>104775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SaveData">
                <anchor moveWithCells="1" sizeWithCells="1">
                  <from>
                    <xdr:col>0</xdr:col>
                    <xdr:colOff>561975</xdr:colOff>
                    <xdr:row>35</xdr:row>
                    <xdr:rowOff>85725</xdr:rowOff>
                  </from>
                  <to>
                    <xdr:col>3</xdr:col>
                    <xdr:colOff>552450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F52CF-7950-4933-93C1-5E5462DDAD16}">
  <sheetPr codeName="Sheet2"/>
  <dimension ref="A1:AW5"/>
  <sheetViews>
    <sheetView tabSelected="1" topLeftCell="AJ1" workbookViewId="0">
      <selection activeCell="AU7" sqref="AU7"/>
    </sheetView>
  </sheetViews>
  <sheetFormatPr defaultRowHeight="15" x14ac:dyDescent="0.25"/>
  <cols>
    <col min="1" max="9" width="11" customWidth="1"/>
    <col min="10" max="49" width="12" customWidth="1"/>
  </cols>
  <sheetData>
    <row r="1" spans="1:49" x14ac:dyDescent="0.25">
      <c r="D1" s="11" t="s">
        <v>37</v>
      </c>
      <c r="E1" s="11"/>
      <c r="F1" s="11"/>
      <c r="G1" s="11"/>
      <c r="H1" s="12" t="s">
        <v>38</v>
      </c>
      <c r="I1" s="12"/>
      <c r="J1" s="12"/>
      <c r="K1" s="12"/>
      <c r="L1" s="12"/>
      <c r="M1" s="15" t="s">
        <v>39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6"/>
      <c r="Z1" s="6"/>
      <c r="AA1" s="6"/>
      <c r="AB1" s="6"/>
      <c r="AC1" s="6"/>
      <c r="AD1" s="6"/>
      <c r="AE1" s="6"/>
      <c r="AF1" s="6"/>
      <c r="AG1" s="13" t="s">
        <v>76</v>
      </c>
      <c r="AH1" s="13"/>
      <c r="AI1" s="13"/>
      <c r="AJ1" s="13"/>
      <c r="AK1" s="13"/>
      <c r="AL1" s="13"/>
      <c r="AM1" s="13"/>
      <c r="AN1" s="14" t="s">
        <v>77</v>
      </c>
      <c r="AO1" s="14"/>
      <c r="AP1" s="14"/>
      <c r="AQ1" s="14"/>
      <c r="AR1" s="14"/>
      <c r="AS1" s="14"/>
      <c r="AT1" s="7"/>
      <c r="AU1" s="7"/>
      <c r="AV1" s="7"/>
      <c r="AW1" s="10"/>
    </row>
    <row r="2" spans="1:49" x14ac:dyDescent="0.25">
      <c r="D2" s="3" t="s">
        <v>33</v>
      </c>
      <c r="E2" s="3" t="s">
        <v>34</v>
      </c>
      <c r="F2" s="3" t="s">
        <v>35</v>
      </c>
      <c r="G2" s="3" t="s">
        <v>34</v>
      </c>
      <c r="H2" s="4" t="s">
        <v>43</v>
      </c>
      <c r="I2" s="4" t="s">
        <v>36</v>
      </c>
      <c r="J2" s="4" t="s">
        <v>40</v>
      </c>
      <c r="K2" s="4" t="s">
        <v>41</v>
      </c>
      <c r="L2" s="4" t="s">
        <v>42</v>
      </c>
      <c r="M2" s="5" t="s">
        <v>79</v>
      </c>
      <c r="N2" s="5" t="s">
        <v>43</v>
      </c>
      <c r="O2" s="5" t="s">
        <v>44</v>
      </c>
      <c r="P2" s="5" t="s">
        <v>45</v>
      </c>
      <c r="Q2" s="5" t="s">
        <v>46</v>
      </c>
      <c r="R2" s="5" t="s">
        <v>47</v>
      </c>
      <c r="S2" s="5" t="s">
        <v>48</v>
      </c>
      <c r="T2" s="5" t="s">
        <v>49</v>
      </c>
      <c r="U2" s="5" t="s">
        <v>50</v>
      </c>
      <c r="V2" s="5" t="s">
        <v>51</v>
      </c>
      <c r="W2" s="5" t="s">
        <v>42</v>
      </c>
      <c r="X2" s="5" t="s">
        <v>52</v>
      </c>
      <c r="Y2" s="6" t="s">
        <v>53</v>
      </c>
      <c r="Z2" s="6" t="s">
        <v>54</v>
      </c>
      <c r="AA2" s="6" t="s">
        <v>55</v>
      </c>
      <c r="AB2" s="6" t="s">
        <v>56</v>
      </c>
      <c r="AC2" s="6" t="s">
        <v>57</v>
      </c>
      <c r="AD2" s="6" t="s">
        <v>58</v>
      </c>
      <c r="AE2" s="6" t="s">
        <v>59</v>
      </c>
      <c r="AF2" s="6" t="s">
        <v>60</v>
      </c>
      <c r="AG2" s="9"/>
      <c r="AH2" s="9"/>
      <c r="AI2" s="9"/>
      <c r="AJ2" s="9"/>
      <c r="AK2" s="9"/>
      <c r="AL2" s="9"/>
      <c r="AM2" s="9"/>
      <c r="AN2" s="8"/>
      <c r="AO2" s="8"/>
      <c r="AP2" s="8"/>
      <c r="AQ2" s="8"/>
      <c r="AR2" s="8"/>
      <c r="AS2" s="8"/>
      <c r="AT2" s="8"/>
      <c r="AU2" s="8"/>
      <c r="AV2" s="8"/>
      <c r="AW2" s="10"/>
    </row>
    <row r="3" spans="1:49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78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  <c r="S3" t="s">
        <v>17</v>
      </c>
      <c r="T3" t="s">
        <v>18</v>
      </c>
      <c r="U3" t="s">
        <v>19</v>
      </c>
      <c r="V3" t="s">
        <v>20</v>
      </c>
      <c r="W3" t="s">
        <v>21</v>
      </c>
      <c r="X3" t="s">
        <v>22</v>
      </c>
      <c r="Y3" t="s">
        <v>23</v>
      </c>
      <c r="Z3" t="s">
        <v>24</v>
      </c>
      <c r="AA3" t="s">
        <v>25</v>
      </c>
      <c r="AB3" t="s">
        <v>26</v>
      </c>
      <c r="AC3" t="s">
        <v>27</v>
      </c>
      <c r="AD3" t="s">
        <v>28</v>
      </c>
      <c r="AE3" t="s">
        <v>29</v>
      </c>
      <c r="AF3" t="s">
        <v>30</v>
      </c>
      <c r="AG3" t="s">
        <v>66</v>
      </c>
      <c r="AH3" t="s">
        <v>61</v>
      </c>
      <c r="AI3" t="s">
        <v>62</v>
      </c>
      <c r="AJ3" t="s">
        <v>63</v>
      </c>
      <c r="AK3" t="s">
        <v>64</v>
      </c>
      <c r="AL3" t="s">
        <v>65</v>
      </c>
      <c r="AM3" t="s">
        <v>73</v>
      </c>
      <c r="AN3" t="s">
        <v>67</v>
      </c>
      <c r="AO3" t="s">
        <v>68</v>
      </c>
      <c r="AP3" t="s">
        <v>69</v>
      </c>
      <c r="AQ3" t="s">
        <v>70</v>
      </c>
      <c r="AR3" t="s">
        <v>71</v>
      </c>
      <c r="AS3" t="s">
        <v>72</v>
      </c>
      <c r="AT3" t="s">
        <v>74</v>
      </c>
      <c r="AU3" t="s">
        <v>89</v>
      </c>
      <c r="AV3" t="s">
        <v>88</v>
      </c>
      <c r="AW3" t="s">
        <v>75</v>
      </c>
    </row>
    <row r="4" spans="1:49" x14ac:dyDescent="0.25">
      <c r="A4" t="s">
        <v>80</v>
      </c>
      <c r="B4" t="s">
        <v>81</v>
      </c>
      <c r="C4" t="s">
        <v>31</v>
      </c>
      <c r="D4">
        <v>4</v>
      </c>
      <c r="E4" t="s">
        <v>82</v>
      </c>
      <c r="F4">
        <v>3323</v>
      </c>
      <c r="G4" t="s">
        <v>83</v>
      </c>
      <c r="H4" t="s">
        <v>84</v>
      </c>
      <c r="I4">
        <v>0</v>
      </c>
      <c r="J4">
        <v>0</v>
      </c>
      <c r="K4">
        <v>1</v>
      </c>
      <c r="L4" t="s">
        <v>32</v>
      </c>
      <c r="M4" t="s">
        <v>85</v>
      </c>
      <c r="N4" t="s">
        <v>86</v>
      </c>
      <c r="O4">
        <v>0</v>
      </c>
      <c r="P4">
        <v>0</v>
      </c>
      <c r="Q4">
        <v>0</v>
      </c>
      <c r="R4">
        <v>0</v>
      </c>
      <c r="T4">
        <v>0</v>
      </c>
      <c r="U4" t="s">
        <v>32</v>
      </c>
      <c r="V4">
        <v>0</v>
      </c>
      <c r="W4">
        <v>2</v>
      </c>
      <c r="X4">
        <v>0</v>
      </c>
      <c r="Y4">
        <v>1</v>
      </c>
      <c r="Z4">
        <v>0</v>
      </c>
      <c r="AA4">
        <v>2</v>
      </c>
      <c r="AB4">
        <v>5</v>
      </c>
      <c r="AC4" t="s">
        <v>32</v>
      </c>
      <c r="AD4">
        <v>0</v>
      </c>
      <c r="AE4">
        <v>0</v>
      </c>
      <c r="AF4" t="s">
        <v>87</v>
      </c>
      <c r="AG4">
        <f>getTotalCount(H4)</f>
        <v>2</v>
      </c>
      <c r="AH4">
        <f>getConeCount(H4)</f>
        <v>1</v>
      </c>
      <c r="AI4">
        <f>getCubeCount(H4)</f>
        <v>1</v>
      </c>
      <c r="AJ4">
        <f>getHighCount(H4)</f>
        <v>0</v>
      </c>
      <c r="AK4">
        <f>getMedCount(H4)</f>
        <v>2</v>
      </c>
      <c r="AL4">
        <f>getLowCount(H4)</f>
        <v>0</v>
      </c>
      <c r="AM4">
        <f>ScoutingData[[#This Row],[AutoLow]]*3+ScoutingData[[#This Row],[AutoMed]]*4+ScoutingData[[#This Row],[AutoHigh]]*6</f>
        <v>8</v>
      </c>
      <c r="AN4">
        <f>getTotalCount(N4)</f>
        <v>4</v>
      </c>
      <c r="AO4">
        <f>getConeCount(N4)</f>
        <v>2</v>
      </c>
      <c r="AP4">
        <f>getCubeCount(N4)</f>
        <v>2</v>
      </c>
      <c r="AQ4">
        <f>getHighCount(N4)</f>
        <v>4</v>
      </c>
      <c r="AR4">
        <f>getMedCount(N4)</f>
        <v>0</v>
      </c>
      <c r="AS4">
        <f>getLowCount(N4)</f>
        <v>0</v>
      </c>
      <c r="AT4">
        <f>ScoutingData[[#This Row],[TeleLow]]*2+ScoutingData[[#This Row],[TeleMed]]*3+ScoutingData[[#This Row],[TeleHigh]]*5</f>
        <v>20</v>
      </c>
      <c r="AU4">
        <f>getCycleCount(ScoutingData[[#This Row],[tct]])</f>
        <v>4</v>
      </c>
      <c r="AV4">
        <f>getAvgCycleTime(ScoutingData[[#This Row],[tct]])</f>
        <v>1.2749999999999999</v>
      </c>
      <c r="AW4">
        <f>ScoutingData[[#This Row],[Tele GP Score]]+ScoutingData[[#This Row],[Auto GP Score]]+IF(ISNUMBER(ScoutingData[[#This Row],[fs]]),ScoutingData[[#This Row],[fs]],0) +ScoutingData[[#This Row],[am]]*3</f>
        <v>33</v>
      </c>
    </row>
    <row r="5" spans="1:49" x14ac:dyDescent="0.25">
      <c r="A5" t="s">
        <v>90</v>
      </c>
      <c r="B5" t="s">
        <v>81</v>
      </c>
      <c r="C5" t="s">
        <v>31</v>
      </c>
      <c r="D5">
        <v>3</v>
      </c>
      <c r="E5" t="s">
        <v>91</v>
      </c>
      <c r="F5">
        <v>1234</v>
      </c>
      <c r="G5" t="s">
        <v>92</v>
      </c>
      <c r="H5" t="s">
        <v>93</v>
      </c>
      <c r="I5">
        <v>0</v>
      </c>
      <c r="J5">
        <v>0</v>
      </c>
      <c r="K5">
        <v>1</v>
      </c>
      <c r="L5" t="s">
        <v>32</v>
      </c>
      <c r="M5" t="s">
        <v>94</v>
      </c>
      <c r="N5" t="s">
        <v>95</v>
      </c>
      <c r="O5">
        <v>1</v>
      </c>
      <c r="P5">
        <v>0</v>
      </c>
      <c r="Q5">
        <v>0</v>
      </c>
      <c r="R5">
        <v>0</v>
      </c>
      <c r="T5">
        <v>0</v>
      </c>
      <c r="U5" t="s">
        <v>96</v>
      </c>
      <c r="V5">
        <v>1.9</v>
      </c>
      <c r="W5">
        <v>10</v>
      </c>
      <c r="X5">
        <v>1</v>
      </c>
      <c r="Y5">
        <v>1</v>
      </c>
      <c r="Z5">
        <v>0</v>
      </c>
      <c r="AA5">
        <v>3</v>
      </c>
      <c r="AB5">
        <v>3</v>
      </c>
      <c r="AC5" t="s">
        <v>97</v>
      </c>
      <c r="AD5">
        <v>0</v>
      </c>
      <c r="AE5">
        <v>0</v>
      </c>
      <c r="AF5" t="s">
        <v>98</v>
      </c>
      <c r="AG5" s="16">
        <f>getTotalCount(H5)</f>
        <v>2</v>
      </c>
      <c r="AH5" s="16">
        <f>getConeCount(H5)</f>
        <v>0</v>
      </c>
      <c r="AI5" s="16">
        <f>getCubeCount(H5)</f>
        <v>2</v>
      </c>
      <c r="AJ5" s="16">
        <f>getHighCount(H5)</f>
        <v>1</v>
      </c>
      <c r="AK5" s="16">
        <f>getMedCount(H5)</f>
        <v>1</v>
      </c>
      <c r="AL5" s="16">
        <f>getLowCount(H5)</f>
        <v>0</v>
      </c>
      <c r="AM5" s="16">
        <f>ScoutingData[[#This Row],[AutoLow]]*3+ScoutingData[[#This Row],[AutoMed]]*4+ScoutingData[[#This Row],[AutoHigh]]*6</f>
        <v>10</v>
      </c>
      <c r="AN5" s="16">
        <f>getTotalCount(N5)</f>
        <v>3</v>
      </c>
      <c r="AO5" s="16">
        <f>getConeCount(N5)</f>
        <v>2</v>
      </c>
      <c r="AP5" s="16">
        <f>getCubeCount(N5)</f>
        <v>1</v>
      </c>
      <c r="AQ5" s="16">
        <f>getHighCount(N5)</f>
        <v>3</v>
      </c>
      <c r="AR5" s="16">
        <f>getMedCount(N5)</f>
        <v>0</v>
      </c>
      <c r="AS5" s="16">
        <f>getLowCount(N5)</f>
        <v>0</v>
      </c>
      <c r="AT5" s="16">
        <f>ScoutingData[[#This Row],[TeleLow]]*2+ScoutingData[[#This Row],[TeleMed]]*3+ScoutingData[[#This Row],[TeleHigh]]*5</f>
        <v>15</v>
      </c>
      <c r="AU5" s="16">
        <f>getCycleCount(ScoutingData[[#This Row],[tct]])</f>
        <v>3</v>
      </c>
      <c r="AV5" s="16">
        <f>getAvgCycleTime(ScoutingData[[#This Row],[tct]])</f>
        <v>4.4333333333333327</v>
      </c>
      <c r="AW5" s="16">
        <f>ScoutingData[[#This Row],[Tele GP Score]]+ScoutingData[[#This Row],[Auto GP Score]]+IF(ISNUMBER(ScoutingData[[#This Row],[fs]]),ScoutingData[[#This Row],[fs]],0) +ScoutingData[[#This Row],[am]]*3</f>
        <v>38</v>
      </c>
    </row>
  </sheetData>
  <mergeCells count="5">
    <mergeCell ref="D1:G1"/>
    <mergeCell ref="H1:L1"/>
    <mergeCell ref="AG1:AM1"/>
    <mergeCell ref="AN1:AS1"/>
    <mergeCell ref="M1:X1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130C-8A86-4E48-AB15-BA04F4451F0C}">
  <sheetPr codeName="LocationMap"/>
  <dimension ref="B1:M12"/>
  <sheetViews>
    <sheetView zoomScaleNormal="100" workbookViewId="0">
      <selection activeCell="Q13" sqref="Q13"/>
    </sheetView>
  </sheetViews>
  <sheetFormatPr defaultRowHeight="15" x14ac:dyDescent="0.25"/>
  <cols>
    <col min="2" max="13" width="6.85546875" customWidth="1"/>
  </cols>
  <sheetData>
    <row r="1" spans="2:13" ht="30" customHeight="1" x14ac:dyDescent="0.25"/>
    <row r="2" spans="2:13" ht="40.15" customHeight="1" x14ac:dyDescent="0.25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</row>
    <row r="3" spans="2:13" ht="40.15" customHeight="1" x14ac:dyDescent="0.25">
      <c r="B3" s="1">
        <v>13</v>
      </c>
      <c r="C3" s="1">
        <v>14</v>
      </c>
      <c r="D3" s="1">
        <v>15</v>
      </c>
      <c r="E3" s="1">
        <v>16</v>
      </c>
      <c r="F3" s="1">
        <v>17</v>
      </c>
      <c r="G3" s="1">
        <v>18</v>
      </c>
      <c r="H3" s="1">
        <v>19</v>
      </c>
      <c r="I3" s="1">
        <v>20</v>
      </c>
      <c r="J3" s="1">
        <v>21</v>
      </c>
      <c r="K3" s="1">
        <v>22</v>
      </c>
      <c r="L3" s="1">
        <v>23</v>
      </c>
      <c r="M3" s="1">
        <v>24</v>
      </c>
    </row>
    <row r="4" spans="2:13" ht="40.15" customHeight="1" x14ac:dyDescent="0.25">
      <c r="B4" s="1">
        <v>25</v>
      </c>
      <c r="C4" s="1">
        <v>26</v>
      </c>
      <c r="D4" s="1">
        <v>27</v>
      </c>
      <c r="E4" s="1">
        <v>28</v>
      </c>
      <c r="F4" s="1">
        <v>29</v>
      </c>
      <c r="G4" s="1">
        <v>30</v>
      </c>
      <c r="H4" s="1">
        <v>31</v>
      </c>
      <c r="I4" s="1">
        <v>32</v>
      </c>
      <c r="J4" s="1">
        <v>33</v>
      </c>
      <c r="K4" s="1">
        <v>34</v>
      </c>
      <c r="L4" s="1">
        <v>35</v>
      </c>
      <c r="M4" s="1">
        <v>36</v>
      </c>
    </row>
    <row r="5" spans="2:13" ht="40.15" customHeight="1" x14ac:dyDescent="0.25">
      <c r="B5" s="1">
        <v>37</v>
      </c>
      <c r="C5" s="1">
        <v>38</v>
      </c>
      <c r="D5" s="1">
        <v>39</v>
      </c>
      <c r="E5" s="1">
        <v>40</v>
      </c>
      <c r="F5" s="1">
        <v>41</v>
      </c>
      <c r="G5" s="1">
        <v>42</v>
      </c>
      <c r="H5" s="1">
        <v>43</v>
      </c>
      <c r="I5" s="1">
        <v>44</v>
      </c>
      <c r="J5" s="1">
        <v>45</v>
      </c>
      <c r="K5" s="1">
        <v>46</v>
      </c>
      <c r="L5" s="1">
        <v>47</v>
      </c>
      <c r="M5" s="1">
        <v>48</v>
      </c>
    </row>
    <row r="6" spans="2:13" ht="40.15" customHeight="1" x14ac:dyDescent="0.25">
      <c r="B6" s="1">
        <v>49</v>
      </c>
      <c r="C6" s="1">
        <v>50</v>
      </c>
      <c r="D6" s="1">
        <v>51</v>
      </c>
      <c r="E6" s="1">
        <v>52</v>
      </c>
      <c r="F6" s="1">
        <v>53</v>
      </c>
      <c r="G6" s="1">
        <v>54</v>
      </c>
      <c r="H6" s="1">
        <v>55</v>
      </c>
      <c r="I6" s="1">
        <v>56</v>
      </c>
      <c r="J6" s="1">
        <v>57</v>
      </c>
      <c r="K6" s="1">
        <v>58</v>
      </c>
      <c r="L6" s="1">
        <v>59</v>
      </c>
      <c r="M6" s="1">
        <v>60</v>
      </c>
    </row>
    <row r="7" spans="2:13" ht="40.15" customHeight="1" x14ac:dyDescent="0.25">
      <c r="B7" s="1">
        <v>61</v>
      </c>
      <c r="C7" s="1">
        <v>62</v>
      </c>
      <c r="D7" s="1">
        <v>63</v>
      </c>
      <c r="E7" s="1">
        <v>64</v>
      </c>
      <c r="F7" s="1">
        <v>65</v>
      </c>
      <c r="G7" s="1">
        <v>66</v>
      </c>
      <c r="H7" s="1">
        <v>67</v>
      </c>
      <c r="I7" s="1">
        <v>68</v>
      </c>
      <c r="J7" s="1">
        <v>69</v>
      </c>
      <c r="K7" s="1">
        <v>70</v>
      </c>
      <c r="L7" s="1">
        <v>71</v>
      </c>
      <c r="M7" s="1">
        <v>72</v>
      </c>
    </row>
    <row r="11" spans="2:13" x14ac:dyDescent="0.25">
      <c r="D11" s="2"/>
    </row>
    <row r="12" spans="2:13" x14ac:dyDescent="0.25">
      <c r="D12" s="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73</vt:i4>
      </vt:variant>
    </vt:vector>
  </HeadingPairs>
  <TitlesOfParts>
    <vt:vector size="76" baseType="lpstr">
      <vt:lpstr>Control</vt:lpstr>
      <vt:lpstr>ScoutingData</vt:lpstr>
      <vt:lpstr>Image Maps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Chris B</cp:lastModifiedBy>
  <dcterms:created xsi:type="dcterms:W3CDTF">2022-01-08T05:41:38Z</dcterms:created>
  <dcterms:modified xsi:type="dcterms:W3CDTF">2023-03-18T15:38:03Z</dcterms:modified>
</cp:coreProperties>
</file>